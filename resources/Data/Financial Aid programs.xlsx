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loria/Desktop/Uni/2022 Honours/Materials/Calculator/"/>
    </mc:Choice>
  </mc:AlternateContent>
  <xr:revisionPtr revIDLastSave="0" documentId="13_ncr:1_{0BC96F46-A269-E647-9C00-EA4BA93F4B81}" xr6:coauthVersionLast="45" xr6:coauthVersionMax="45" xr10:uidLastSave="{00000000-0000-0000-0000-000000000000}"/>
  <bookViews>
    <workbookView xWindow="380" yWindow="500" windowWidth="28040" windowHeight="15680" activeTab="5" xr2:uid="{AB7F6E50-3B8C-0647-98D4-C9A8F030BD9F}"/>
  </bookViews>
  <sheets>
    <sheet name="Question 1" sheetId="1" r:id="rId1"/>
    <sheet name="AU-NON-AB" sheetId="2" r:id="rId2"/>
    <sheet name="AU-AB" sheetId="8" r:id="rId3"/>
    <sheet name="Domestic Special Visa" sheetId="9" r:id="rId4"/>
    <sheet name="Domestic Non citizen" sheetId="10" r:id="rId5"/>
    <sheet name="Outcome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35" i="7" l="1"/>
  <c r="W36" i="7"/>
  <c r="W37" i="7"/>
  <c r="W38" i="7"/>
  <c r="W39" i="7"/>
  <c r="W40" i="7"/>
  <c r="W34" i="7"/>
  <c r="W8" i="7"/>
  <c r="W10" i="7"/>
  <c r="W12" i="7"/>
  <c r="W14" i="7"/>
  <c r="W16" i="7"/>
  <c r="W18" i="7"/>
  <c r="W20" i="7"/>
  <c r="W22" i="7"/>
  <c r="W24" i="7"/>
  <c r="W26" i="7"/>
  <c r="W28" i="7"/>
  <c r="W30" i="7"/>
  <c r="W32" i="7"/>
  <c r="W6" i="7"/>
  <c r="Q60" i="7"/>
  <c r="Q58" i="7"/>
  <c r="Q56" i="7"/>
  <c r="Q54" i="7"/>
  <c r="Q52" i="7"/>
  <c r="Q50" i="7"/>
  <c r="Q48" i="7"/>
  <c r="Q45" i="7"/>
  <c r="Q42" i="7"/>
  <c r="Q39" i="7"/>
  <c r="Q36" i="7"/>
  <c r="Q33" i="7"/>
  <c r="Q30" i="7"/>
  <c r="Q27" i="7"/>
  <c r="Q24" i="7"/>
  <c r="Q21" i="7"/>
  <c r="Q18" i="7"/>
  <c r="Q15" i="7"/>
  <c r="Q12" i="7"/>
  <c r="Q9" i="7"/>
  <c r="Q6" i="7"/>
  <c r="K118" i="7"/>
  <c r="K87" i="7"/>
  <c r="K124" i="7"/>
  <c r="K122" i="7"/>
  <c r="K120" i="7"/>
  <c r="K116" i="7"/>
  <c r="K114" i="7"/>
  <c r="K112" i="7"/>
  <c r="K110" i="7"/>
  <c r="K108" i="7"/>
  <c r="K106" i="7"/>
  <c r="K104" i="7"/>
  <c r="K102" i="7"/>
  <c r="K100" i="7"/>
  <c r="K98" i="7"/>
  <c r="K96" i="7"/>
  <c r="K93" i="7"/>
  <c r="K90" i="7"/>
  <c r="K84" i="7"/>
  <c r="K81" i="7"/>
  <c r="K78" i="7"/>
  <c r="K75" i="7"/>
  <c r="K72" i="7"/>
  <c r="K69" i="7"/>
  <c r="K66" i="7"/>
  <c r="K63" i="7"/>
  <c r="K60" i="7"/>
  <c r="K57" i="7"/>
  <c r="K54" i="7"/>
  <c r="K51" i="7"/>
  <c r="K48" i="7"/>
  <c r="K45" i="7"/>
  <c r="K42" i="7"/>
  <c r="K39" i="7"/>
  <c r="K36" i="7"/>
  <c r="K33" i="7"/>
  <c r="K30" i="7"/>
  <c r="K27" i="7"/>
  <c r="K24" i="7"/>
  <c r="K21" i="7"/>
  <c r="K18" i="7"/>
  <c r="K15" i="7"/>
  <c r="K12" i="7"/>
  <c r="K9" i="7"/>
  <c r="K6" i="7"/>
  <c r="E50" i="7"/>
  <c r="E52" i="7"/>
  <c r="E54" i="7"/>
  <c r="E56" i="7"/>
  <c r="E58" i="7"/>
  <c r="E60" i="7"/>
  <c r="E48" i="7"/>
  <c r="E45" i="7"/>
  <c r="E42" i="7"/>
  <c r="E39" i="7"/>
  <c r="E36" i="7"/>
  <c r="E33" i="7"/>
  <c r="E30" i="7"/>
  <c r="E27" i="7"/>
  <c r="E24" i="7"/>
  <c r="E21" i="7"/>
  <c r="E18" i="7"/>
  <c r="E15" i="7"/>
  <c r="E12" i="7"/>
  <c r="E9" i="7"/>
  <c r="E6" i="7"/>
</calcChain>
</file>

<file path=xl/sharedStrings.xml><?xml version="1.0" encoding="utf-8"?>
<sst xmlns="http://schemas.openxmlformats.org/spreadsheetml/2006/main" count="1026" uniqueCount="140">
  <si>
    <t>What's your residential status?</t>
  </si>
  <si>
    <t>Options</t>
  </si>
  <si>
    <t>Directions</t>
  </si>
  <si>
    <t>A</t>
  </si>
  <si>
    <t>B</t>
  </si>
  <si>
    <t>C</t>
  </si>
  <si>
    <t>D</t>
  </si>
  <si>
    <t>E</t>
  </si>
  <si>
    <t>F</t>
  </si>
  <si>
    <t>G</t>
  </si>
  <si>
    <t>Australian Citizen (Non-Aboriginal or Torres Strait Islander)</t>
  </si>
  <si>
    <t>Australian Citizen (Aboriginal or Torres Strait Islander)</t>
  </si>
  <si>
    <t>Newzeland Citizen</t>
  </si>
  <si>
    <t>Newzeland Special Category Visa</t>
  </si>
  <si>
    <t>Permanent Humanitarian Visa Holder</t>
  </si>
  <si>
    <t>Permanent Resident</t>
  </si>
  <si>
    <t>Temporary Visa Holder</t>
  </si>
  <si>
    <t>AU-NON AB</t>
  </si>
  <si>
    <t>AU-AB</t>
  </si>
  <si>
    <t>Domestic non citizen</t>
  </si>
  <si>
    <t>Domestic Special Visa</t>
  </si>
  <si>
    <t>Yes for at least one unit</t>
  </si>
  <si>
    <t>No</t>
  </si>
  <si>
    <t>Q3</t>
  </si>
  <si>
    <t>Question 3. Are you coming from remote areas?</t>
  </si>
  <si>
    <t>Yes</t>
  </si>
  <si>
    <t>Q4</t>
  </si>
  <si>
    <t>Face to face</t>
  </si>
  <si>
    <t>Dual delivery mode</t>
  </si>
  <si>
    <t>Q5</t>
  </si>
  <si>
    <t>Online</t>
  </si>
  <si>
    <t>Question 4. What is your prefered study mode?</t>
  </si>
  <si>
    <t>Q6</t>
  </si>
  <si>
    <t>Question 5. relocate to study at an education provider or Regional University Centre at least 90 minutes by public transport from their family home</t>
  </si>
  <si>
    <t>Question 7. Aged 22 and under when commencing the course?</t>
  </si>
  <si>
    <t>Q8</t>
  </si>
  <si>
    <t>Q9</t>
  </si>
  <si>
    <t>Question 8. parent(s) or guardian(s) have a combined income of $250,000 or below</t>
  </si>
  <si>
    <t>Question 2. Do you intended to study in Australia? Full time?</t>
  </si>
  <si>
    <t>Outcome 1</t>
  </si>
  <si>
    <t>Single, no children, younger than 18, and live at your parent’s home</t>
  </si>
  <si>
    <t>Single, no children, younger than 18, living away from your parent’s home to study, train or look for work</t>
  </si>
  <si>
    <t>Single, no children, 18 or older and live at your parent’s home</t>
  </si>
  <si>
    <t>Single, no children, 18 or older and need to live away from your parent’s home</t>
  </si>
  <si>
    <t>Single, with children</t>
  </si>
  <si>
    <t>A couple, with no children</t>
  </si>
  <si>
    <t>A couple, with children</t>
  </si>
  <si>
    <t>Question 9. What's your current circumstances?</t>
  </si>
  <si>
    <t>Q10</t>
  </si>
  <si>
    <t>Q11</t>
  </si>
  <si>
    <t>Q12</t>
  </si>
  <si>
    <t>Question 10. Are you studying in a remote area?</t>
  </si>
  <si>
    <t>Question 11. What's your current circumstances?</t>
  </si>
  <si>
    <t>Question 12. What's your current circumstances?</t>
  </si>
  <si>
    <t>Q10+J:L</t>
  </si>
  <si>
    <t>Outcome 2</t>
  </si>
  <si>
    <t>Outcome 3</t>
  </si>
  <si>
    <t>Outcome 4</t>
  </si>
  <si>
    <t>Outcome 5</t>
  </si>
  <si>
    <t>Outcome 6</t>
  </si>
  <si>
    <t>Outcome 7</t>
  </si>
  <si>
    <t>Outcome 8</t>
  </si>
  <si>
    <t>Outcome 9</t>
  </si>
  <si>
    <t>Outcome 10</t>
  </si>
  <si>
    <t>Outcome 11</t>
  </si>
  <si>
    <t>Outcome 12</t>
  </si>
  <si>
    <t>Outcome 13</t>
  </si>
  <si>
    <t>Outcome 14</t>
  </si>
  <si>
    <t>Outcome 15</t>
  </si>
  <si>
    <t>Outcome 16</t>
  </si>
  <si>
    <t>Outcome 17</t>
  </si>
  <si>
    <t>Outcome 18</t>
  </si>
  <si>
    <t>Outcome 19</t>
  </si>
  <si>
    <t>Outcome 20</t>
  </si>
  <si>
    <t>Outcome 21</t>
  </si>
  <si>
    <t>Outcome 22</t>
  </si>
  <si>
    <t>Outcome for non-aboriginal Australian Students</t>
  </si>
  <si>
    <t>Outcome</t>
  </si>
  <si>
    <t>Avaliable programs</t>
  </si>
  <si>
    <t>None</t>
  </si>
  <si>
    <t>HECS-HELP</t>
  </si>
  <si>
    <t>Tuition fee = 0</t>
  </si>
  <si>
    <t>Youth Allowance</t>
  </si>
  <si>
    <t>Cost deduction/year</t>
  </si>
  <si>
    <t>Relocation Scholarship</t>
  </si>
  <si>
    <t>Total Deductions</t>
  </si>
  <si>
    <t>Tuition fee = 1</t>
  </si>
  <si>
    <t>Dependent, Living at home 16 to 17 when commencing bachelor degree</t>
  </si>
  <si>
    <t>Dependent, Living at home 18 to 21 when commencing bachelor degree</t>
  </si>
  <si>
    <t>Dependent, Living away from home, younger than 22</t>
  </si>
  <si>
    <t>Independent, No children or partner and living at home, under 18</t>
  </si>
  <si>
    <t>Independent, No children or partner and living at home, 18-21</t>
  </si>
  <si>
    <t>Independent, No children or partner and living at home, 22 or order</t>
  </si>
  <si>
    <t>H</t>
  </si>
  <si>
    <t>I</t>
  </si>
  <si>
    <t>J</t>
  </si>
  <si>
    <t>Independent, No children or partner and NOT living at home, under 18</t>
  </si>
  <si>
    <t>Independent, No children or partner and NOT living at home, 18-21</t>
  </si>
  <si>
    <t>Independent, No children or partner and NOT living at home, 22 or order</t>
  </si>
  <si>
    <t>No partner and a dependent child, younger than 22</t>
  </si>
  <si>
    <t>K</t>
  </si>
  <si>
    <t>L</t>
  </si>
  <si>
    <t>M</t>
  </si>
  <si>
    <t>N</t>
  </si>
  <si>
    <t>O</t>
  </si>
  <si>
    <t>No partner and a dependent child, 22 OR older</t>
  </si>
  <si>
    <t>Partner and no dependent child, 22 OR older</t>
  </si>
  <si>
    <t>Partner and a dependent child, younger than 24</t>
  </si>
  <si>
    <t>Partner and a dependent child, 22 OR older</t>
  </si>
  <si>
    <t>Outcome 23</t>
  </si>
  <si>
    <t>Outcome 24</t>
  </si>
  <si>
    <t>Outcome 25</t>
  </si>
  <si>
    <t>Outcome 26</t>
  </si>
  <si>
    <t>Outcome 27</t>
  </si>
  <si>
    <t>Outcome 28</t>
  </si>
  <si>
    <t>Outcome 29</t>
  </si>
  <si>
    <t>Outcome 30</t>
  </si>
  <si>
    <t>Outcome 31</t>
  </si>
  <si>
    <t>Outcome 32</t>
  </si>
  <si>
    <t>Outcome 33</t>
  </si>
  <si>
    <t>Outcome 34</t>
  </si>
  <si>
    <t>Outcome 35</t>
  </si>
  <si>
    <t>Outcome 36</t>
  </si>
  <si>
    <t>Outcome 37</t>
  </si>
  <si>
    <t>Outcome 38</t>
  </si>
  <si>
    <t>Outcome 39</t>
  </si>
  <si>
    <t>Outcome 40</t>
  </si>
  <si>
    <t>Outcome 41</t>
  </si>
  <si>
    <t>Outcome 42</t>
  </si>
  <si>
    <t>Outcome 43</t>
  </si>
  <si>
    <t>Outcome 44</t>
  </si>
  <si>
    <t>Outcome 45</t>
  </si>
  <si>
    <t>Outcome for Aboriginal Australian Students</t>
  </si>
  <si>
    <t>ABSTUDY</t>
  </si>
  <si>
    <t>Partner and no dependent child, younger than 22</t>
  </si>
  <si>
    <t>Partner and a dependent child, younger than 22</t>
  </si>
  <si>
    <t>Outcome 46</t>
  </si>
  <si>
    <t>Outcome for Domestic Special Visa Holder</t>
  </si>
  <si>
    <t>Outcome for Domestic Non-citizen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</si>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</sst>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44" fontId="2" fillId="0" borderId="2" xfId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E45C-52AE-814D-B426-556B5D70E4DF}">
  <dimension ref="C2:R11"/>
  <sheetViews>
    <sheetView workbookViewId="0">
      <selection activeCell="J6" sqref="J6"/>
    </sheetView>
  </sheetViews>
  <sheetFormatPr baseColWidth="10" defaultRowHeight="16"/>
  <cols>
    <col min="3" max="3" width="10.83203125" style="1"/>
    <col min="4" max="4" width="50.6640625" style="1" bestFit="1" customWidth="1"/>
    <col min="5" max="5" width="23.6640625" style="1" customWidth="1"/>
    <col min="6" max="18" width="10.83203125" style="1"/>
  </cols>
  <sheetData>
    <row r="2" spans="3:14">
      <c r="F2" s="14" t="s">
        <v>0</v>
      </c>
      <c r="G2" s="14"/>
      <c r="H2" s="14"/>
      <c r="I2" s="14"/>
      <c r="J2" s="14"/>
      <c r="K2" s="14"/>
      <c r="L2" s="14"/>
      <c r="M2" s="14"/>
      <c r="N2" s="14"/>
    </row>
    <row r="4" spans="3:14">
      <c r="C4" s="15" t="s">
        <v>1</v>
      </c>
      <c r="D4" s="15"/>
      <c r="E4" s="2" t="s">
        <v>2</v>
      </c>
    </row>
    <row r="5" spans="3:14">
      <c r="C5" s="3" t="s">
        <v>3</v>
      </c>
      <c r="D5" s="3" t="s">
        <v>10</v>
      </c>
      <c r="E5" s="3" t="s">
        <v>17</v>
      </c>
    </row>
    <row r="6" spans="3:14">
      <c r="C6" s="3" t="s">
        <v>4</v>
      </c>
      <c r="D6" s="3" t="s">
        <v>11</v>
      </c>
      <c r="E6" s="3" t="s">
        <v>18</v>
      </c>
    </row>
    <row r="7" spans="3:14">
      <c r="C7" s="3" t="s">
        <v>5</v>
      </c>
      <c r="D7" s="3" t="s">
        <v>12</v>
      </c>
      <c r="E7" s="3" t="s">
        <v>19</v>
      </c>
    </row>
    <row r="8" spans="3:14">
      <c r="C8" s="3" t="s">
        <v>6</v>
      </c>
      <c r="D8" s="3" t="s">
        <v>13</v>
      </c>
      <c r="E8" s="3" t="s">
        <v>20</v>
      </c>
    </row>
    <row r="9" spans="3:14">
      <c r="C9" s="3" t="s">
        <v>7</v>
      </c>
      <c r="D9" s="3" t="s">
        <v>14</v>
      </c>
      <c r="E9" s="3" t="s">
        <v>20</v>
      </c>
    </row>
    <row r="10" spans="3:14">
      <c r="C10" s="3" t="s">
        <v>8</v>
      </c>
      <c r="D10" s="3" t="s">
        <v>15</v>
      </c>
      <c r="E10" s="3" t="s">
        <v>19</v>
      </c>
    </row>
    <row r="11" spans="3:14">
      <c r="C11" s="3" t="s">
        <v>9</v>
      </c>
      <c r="D11" s="3" t="s">
        <v>16</v>
      </c>
      <c r="E11" s="3" t="s">
        <v>139</v>
      </c>
    </row>
  </sheetData>
  <mergeCells count="2">
    <mergeCell ref="F2:N2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DA10A-C1CC-D14F-92DC-2878F2178DDB}">
  <dimension ref="B2:U22"/>
  <sheetViews>
    <sheetView topLeftCell="A9" workbookViewId="0">
      <selection activeCell="R2" sqref="R2"/>
    </sheetView>
  </sheetViews>
  <sheetFormatPr baseColWidth="10" defaultRowHeight="16"/>
  <cols>
    <col min="2" max="2" width="10.83203125" style="5"/>
    <col min="3" max="3" width="39.6640625" style="5" customWidth="1"/>
    <col min="4" max="4" width="15.1640625" style="5" customWidth="1"/>
    <col min="5" max="6" width="10.83203125" style="5"/>
    <col min="7" max="7" width="41.6640625" style="5" customWidth="1"/>
    <col min="8" max="8" width="14" style="5" customWidth="1"/>
    <col min="9" max="10" width="10.83203125" style="5"/>
    <col min="11" max="11" width="37.6640625" style="5" customWidth="1"/>
    <col min="12" max="12" width="15.33203125" style="5" customWidth="1"/>
    <col min="13" max="14" width="10.83203125" style="5"/>
    <col min="15" max="15" width="35.5" style="5" customWidth="1"/>
    <col min="16" max="16" width="16.5" style="5" customWidth="1"/>
    <col min="17" max="19" width="10.83203125" style="5"/>
    <col min="20" max="21" width="10.83203125" style="4"/>
  </cols>
  <sheetData>
    <row r="2" spans="2:16" ht="74" customHeight="1">
      <c r="B2" s="16" t="s">
        <v>38</v>
      </c>
      <c r="C2" s="16"/>
      <c r="D2" s="16"/>
      <c r="F2" s="16" t="s">
        <v>24</v>
      </c>
      <c r="G2" s="16"/>
      <c r="H2" s="16"/>
      <c r="J2" s="16" t="s">
        <v>31</v>
      </c>
      <c r="K2" s="16"/>
      <c r="L2" s="16"/>
      <c r="N2" s="16" t="s">
        <v>33</v>
      </c>
      <c r="O2" s="16"/>
      <c r="P2" s="16"/>
    </row>
    <row r="3" spans="2:16" ht="17">
      <c r="B3" s="16" t="s">
        <v>1</v>
      </c>
      <c r="C3" s="16"/>
      <c r="D3" s="7" t="s">
        <v>2</v>
      </c>
      <c r="F3" s="16" t="s">
        <v>1</v>
      </c>
      <c r="G3" s="16"/>
      <c r="H3" s="7" t="s">
        <v>2</v>
      </c>
      <c r="J3" s="16" t="s">
        <v>1</v>
      </c>
      <c r="K3" s="16"/>
      <c r="L3" s="7" t="s">
        <v>2</v>
      </c>
      <c r="N3" s="16" t="s">
        <v>1</v>
      </c>
      <c r="O3" s="16"/>
      <c r="P3" s="7" t="s">
        <v>2</v>
      </c>
    </row>
    <row r="4" spans="2:16" ht="17">
      <c r="B4" s="6" t="s">
        <v>3</v>
      </c>
      <c r="C4" s="6" t="s">
        <v>21</v>
      </c>
      <c r="D4" s="6" t="s">
        <v>23</v>
      </c>
      <c r="F4" s="6" t="s">
        <v>3</v>
      </c>
      <c r="G4" s="6" t="s">
        <v>25</v>
      </c>
      <c r="H4" s="6" t="s">
        <v>26</v>
      </c>
      <c r="J4" s="6" t="s">
        <v>3</v>
      </c>
      <c r="K4" s="6" t="s">
        <v>27</v>
      </c>
      <c r="L4" s="6" t="s">
        <v>29</v>
      </c>
      <c r="N4" s="6" t="s">
        <v>3</v>
      </c>
      <c r="O4" s="6" t="s">
        <v>25</v>
      </c>
      <c r="P4" s="6" t="s">
        <v>32</v>
      </c>
    </row>
    <row r="5" spans="2:16" ht="17">
      <c r="B5" s="6" t="s">
        <v>4</v>
      </c>
      <c r="C5" s="6" t="s">
        <v>22</v>
      </c>
      <c r="D5" s="6" t="s">
        <v>39</v>
      </c>
      <c r="F5" s="6" t="s">
        <v>4</v>
      </c>
      <c r="G5" s="6" t="s">
        <v>22</v>
      </c>
      <c r="H5" s="6" t="s">
        <v>48</v>
      </c>
      <c r="J5" s="6" t="s">
        <v>4</v>
      </c>
      <c r="K5" s="6" t="s">
        <v>28</v>
      </c>
      <c r="L5" s="6" t="s">
        <v>29</v>
      </c>
      <c r="N5" s="6" t="s">
        <v>4</v>
      </c>
      <c r="O5" s="6" t="s">
        <v>22</v>
      </c>
      <c r="P5" s="6" t="s">
        <v>29</v>
      </c>
    </row>
    <row r="6" spans="2:16" ht="17">
      <c r="J6" s="6" t="s">
        <v>5</v>
      </c>
      <c r="K6" s="6" t="s">
        <v>30</v>
      </c>
      <c r="L6" s="6" t="s">
        <v>54</v>
      </c>
      <c r="N6" s="8"/>
      <c r="O6" s="8"/>
      <c r="P6" s="8"/>
    </row>
    <row r="9" spans="2:16" ht="41" customHeight="1">
      <c r="B9" s="16" t="s">
        <v>34</v>
      </c>
      <c r="C9" s="16"/>
      <c r="D9" s="16"/>
      <c r="F9" s="16" t="s">
        <v>37</v>
      </c>
      <c r="G9" s="16"/>
      <c r="H9" s="16"/>
    </row>
    <row r="10" spans="2:16" ht="17">
      <c r="B10" s="16" t="s">
        <v>1</v>
      </c>
      <c r="C10" s="16"/>
      <c r="D10" s="7" t="s">
        <v>2</v>
      </c>
      <c r="F10" s="16" t="s">
        <v>1</v>
      </c>
      <c r="G10" s="16"/>
      <c r="H10" s="7" t="s">
        <v>2</v>
      </c>
    </row>
    <row r="11" spans="2:16" ht="17">
      <c r="B11" s="6" t="s">
        <v>3</v>
      </c>
      <c r="C11" s="6" t="s">
        <v>25</v>
      </c>
      <c r="D11" s="6" t="s">
        <v>35</v>
      </c>
      <c r="F11" s="6" t="s">
        <v>3</v>
      </c>
      <c r="G11" s="6" t="s">
        <v>25</v>
      </c>
      <c r="H11" s="6" t="s">
        <v>36</v>
      </c>
    </row>
    <row r="12" spans="2:16" ht="17">
      <c r="B12" s="6" t="s">
        <v>4</v>
      </c>
      <c r="C12" s="6" t="s">
        <v>22</v>
      </c>
      <c r="D12" s="6" t="s">
        <v>48</v>
      </c>
      <c r="F12" s="6" t="s">
        <v>4</v>
      </c>
      <c r="G12" s="6" t="s">
        <v>22</v>
      </c>
      <c r="H12" s="6" t="s">
        <v>48</v>
      </c>
    </row>
    <row r="14" spans="2:16" ht="52" customHeight="1">
      <c r="B14" s="16" t="s">
        <v>47</v>
      </c>
      <c r="C14" s="16"/>
      <c r="D14" s="16"/>
      <c r="F14" s="16" t="s">
        <v>51</v>
      </c>
      <c r="G14" s="16"/>
      <c r="H14" s="16"/>
      <c r="J14" s="16" t="s">
        <v>52</v>
      </c>
      <c r="K14" s="16"/>
      <c r="L14" s="16"/>
      <c r="N14" s="16" t="s">
        <v>53</v>
      </c>
      <c r="O14" s="16"/>
      <c r="P14" s="16"/>
    </row>
    <row r="15" spans="2:16" ht="17">
      <c r="B15" s="16" t="s">
        <v>1</v>
      </c>
      <c r="C15" s="16"/>
      <c r="D15" s="7" t="s">
        <v>2</v>
      </c>
      <c r="F15" s="16" t="s">
        <v>1</v>
      </c>
      <c r="G15" s="16"/>
      <c r="H15" s="7" t="s">
        <v>2</v>
      </c>
      <c r="J15" s="16" t="s">
        <v>1</v>
      </c>
      <c r="K15" s="16"/>
      <c r="L15" s="7" t="s">
        <v>2</v>
      </c>
      <c r="N15" s="16" t="s">
        <v>1</v>
      </c>
      <c r="O15" s="16"/>
      <c r="P15" s="7" t="s">
        <v>2</v>
      </c>
    </row>
    <row r="16" spans="2:16" ht="34">
      <c r="B16" s="6" t="s">
        <v>3</v>
      </c>
      <c r="C16" s="6" t="s">
        <v>40</v>
      </c>
      <c r="D16" s="6" t="s">
        <v>55</v>
      </c>
      <c r="F16" s="6" t="s">
        <v>3</v>
      </c>
      <c r="G16" s="6" t="s">
        <v>25</v>
      </c>
      <c r="H16" s="6" t="s">
        <v>49</v>
      </c>
      <c r="J16" s="6" t="s">
        <v>3</v>
      </c>
      <c r="K16" s="6" t="s">
        <v>40</v>
      </c>
      <c r="L16" s="6" t="s">
        <v>62</v>
      </c>
      <c r="N16" s="6" t="s">
        <v>3</v>
      </c>
      <c r="O16" s="6" t="s">
        <v>40</v>
      </c>
      <c r="P16" s="6" t="s">
        <v>69</v>
      </c>
    </row>
    <row r="17" spans="2:21" ht="51">
      <c r="B17" s="6" t="s">
        <v>4</v>
      </c>
      <c r="C17" s="6" t="s">
        <v>41</v>
      </c>
      <c r="D17" s="6" t="s">
        <v>56</v>
      </c>
      <c r="F17" s="6" t="s">
        <v>4</v>
      </c>
      <c r="G17" s="6" t="s">
        <v>22</v>
      </c>
      <c r="H17" s="6" t="s">
        <v>50</v>
      </c>
      <c r="J17" s="6" t="s">
        <v>4</v>
      </c>
      <c r="K17" s="6" t="s">
        <v>41</v>
      </c>
      <c r="L17" s="6" t="s">
        <v>63</v>
      </c>
      <c r="N17" s="6" t="s">
        <v>4</v>
      </c>
      <c r="O17" s="6" t="s">
        <v>41</v>
      </c>
      <c r="P17" s="6" t="s">
        <v>70</v>
      </c>
    </row>
    <row r="18" spans="2:21" ht="34">
      <c r="B18" s="6" t="s">
        <v>5</v>
      </c>
      <c r="C18" s="6" t="s">
        <v>42</v>
      </c>
      <c r="D18" s="6" t="s">
        <v>57</v>
      </c>
      <c r="J18" s="6" t="s">
        <v>5</v>
      </c>
      <c r="K18" s="6" t="s">
        <v>42</v>
      </c>
      <c r="L18" s="6" t="s">
        <v>64</v>
      </c>
      <c r="N18" s="6" t="s">
        <v>5</v>
      </c>
      <c r="O18" s="6" t="s">
        <v>42</v>
      </c>
      <c r="P18" s="6" t="s">
        <v>71</v>
      </c>
      <c r="Q18" s="4"/>
      <c r="R18" s="4"/>
      <c r="S18"/>
      <c r="T18"/>
      <c r="U18"/>
    </row>
    <row r="19" spans="2:21" ht="34">
      <c r="B19" s="6" t="s">
        <v>6</v>
      </c>
      <c r="C19" s="6" t="s">
        <v>43</v>
      </c>
      <c r="D19" s="6" t="s">
        <v>58</v>
      </c>
      <c r="J19" s="6" t="s">
        <v>6</v>
      </c>
      <c r="K19" s="6" t="s">
        <v>43</v>
      </c>
      <c r="L19" s="6" t="s">
        <v>65</v>
      </c>
      <c r="N19" s="6" t="s">
        <v>6</v>
      </c>
      <c r="O19" s="6" t="s">
        <v>43</v>
      </c>
      <c r="P19" s="6" t="s">
        <v>72</v>
      </c>
      <c r="Q19" s="4"/>
      <c r="R19" s="4"/>
      <c r="S19"/>
      <c r="T19"/>
      <c r="U19"/>
    </row>
    <row r="20" spans="2:21" ht="17">
      <c r="B20" s="6" t="s">
        <v>7</v>
      </c>
      <c r="C20" s="6" t="s">
        <v>44</v>
      </c>
      <c r="D20" s="6" t="s">
        <v>59</v>
      </c>
      <c r="J20" s="6" t="s">
        <v>7</v>
      </c>
      <c r="K20" s="6" t="s">
        <v>44</v>
      </c>
      <c r="L20" s="6" t="s">
        <v>66</v>
      </c>
      <c r="N20" s="6" t="s">
        <v>7</v>
      </c>
      <c r="O20" s="6" t="s">
        <v>44</v>
      </c>
      <c r="P20" s="6" t="s">
        <v>73</v>
      </c>
      <c r="Q20" s="4"/>
      <c r="R20" s="4"/>
      <c r="S20"/>
      <c r="T20"/>
      <c r="U20"/>
    </row>
    <row r="21" spans="2:21" ht="17">
      <c r="B21" s="6" t="s">
        <v>8</v>
      </c>
      <c r="C21" s="6" t="s">
        <v>45</v>
      </c>
      <c r="D21" s="6" t="s">
        <v>60</v>
      </c>
      <c r="J21" s="6" t="s">
        <v>8</v>
      </c>
      <c r="K21" s="6" t="s">
        <v>45</v>
      </c>
      <c r="L21" s="6" t="s">
        <v>67</v>
      </c>
      <c r="N21" s="6" t="s">
        <v>8</v>
      </c>
      <c r="O21" s="6" t="s">
        <v>45</v>
      </c>
      <c r="P21" s="6" t="s">
        <v>74</v>
      </c>
      <c r="Q21" s="4"/>
      <c r="R21" s="4"/>
      <c r="S21"/>
      <c r="T21"/>
      <c r="U21"/>
    </row>
    <row r="22" spans="2:21" ht="17">
      <c r="B22" s="6" t="s">
        <v>9</v>
      </c>
      <c r="C22" s="6" t="s">
        <v>46</v>
      </c>
      <c r="D22" s="6" t="s">
        <v>61</v>
      </c>
      <c r="J22" s="6" t="s">
        <v>9</v>
      </c>
      <c r="K22" s="6" t="s">
        <v>46</v>
      </c>
      <c r="L22" s="6" t="s">
        <v>68</v>
      </c>
      <c r="N22" s="6" t="s">
        <v>9</v>
      </c>
      <c r="O22" s="6" t="s">
        <v>46</v>
      </c>
      <c r="P22" s="6" t="s">
        <v>75</v>
      </c>
      <c r="Q22" s="4"/>
      <c r="R22" s="4"/>
      <c r="S22"/>
      <c r="T22"/>
      <c r="U22"/>
    </row>
  </sheetData>
  <mergeCells count="20">
    <mergeCell ref="N2:P2"/>
    <mergeCell ref="N3:O3"/>
    <mergeCell ref="B9:D9"/>
    <mergeCell ref="B10:C10"/>
    <mergeCell ref="F9:H9"/>
    <mergeCell ref="F10:G10"/>
    <mergeCell ref="B2:D2"/>
    <mergeCell ref="B3:C3"/>
    <mergeCell ref="F2:H2"/>
    <mergeCell ref="F3:G3"/>
    <mergeCell ref="J2:L2"/>
    <mergeCell ref="J3:K3"/>
    <mergeCell ref="N14:P14"/>
    <mergeCell ref="N15:O15"/>
    <mergeCell ref="B14:D14"/>
    <mergeCell ref="B15:C15"/>
    <mergeCell ref="F14:H14"/>
    <mergeCell ref="F15:G15"/>
    <mergeCell ref="J14:L14"/>
    <mergeCell ref="J15:K15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DA2D-A86C-114D-9D86-6DC31E792042}">
  <dimension ref="B2:U30"/>
  <sheetViews>
    <sheetView topLeftCell="A11" workbookViewId="0">
      <selection activeCell="F25" sqref="F25"/>
    </sheetView>
  </sheetViews>
  <sheetFormatPr baseColWidth="10" defaultRowHeight="16"/>
  <cols>
    <col min="2" max="2" width="10.83203125" style="5"/>
    <col min="3" max="3" width="39.6640625" style="5" customWidth="1"/>
    <col min="4" max="4" width="15.1640625" style="5" customWidth="1"/>
    <col min="5" max="6" width="10.83203125" style="5"/>
    <col min="7" max="7" width="41.6640625" style="5" customWidth="1"/>
    <col min="8" max="8" width="14" style="5" customWidth="1"/>
    <col min="9" max="10" width="10.83203125" style="5"/>
    <col min="11" max="11" width="37.6640625" style="5" customWidth="1"/>
    <col min="12" max="12" width="15.33203125" style="5" customWidth="1"/>
    <col min="13" max="14" width="10.83203125" style="5"/>
    <col min="15" max="15" width="35.5" style="5" customWidth="1"/>
    <col min="16" max="16" width="16.5" style="5" customWidth="1"/>
    <col min="17" max="19" width="10.83203125" style="5"/>
    <col min="20" max="21" width="10.83203125" style="4"/>
  </cols>
  <sheetData>
    <row r="2" spans="2:16" ht="74" customHeight="1">
      <c r="B2" s="16" t="s">
        <v>38</v>
      </c>
      <c r="C2" s="16"/>
      <c r="D2" s="16"/>
      <c r="F2" s="16" t="s">
        <v>24</v>
      </c>
      <c r="G2" s="16"/>
      <c r="H2" s="16"/>
      <c r="J2" s="16" t="s">
        <v>31</v>
      </c>
      <c r="K2" s="16"/>
      <c r="L2" s="16"/>
      <c r="N2" s="16" t="s">
        <v>33</v>
      </c>
      <c r="O2" s="16"/>
      <c r="P2" s="16"/>
    </row>
    <row r="3" spans="2:16" ht="17">
      <c r="B3" s="16" t="s">
        <v>1</v>
      </c>
      <c r="C3" s="16"/>
      <c r="D3" s="7" t="s">
        <v>2</v>
      </c>
      <c r="F3" s="16" t="s">
        <v>1</v>
      </c>
      <c r="G3" s="16"/>
      <c r="H3" s="7" t="s">
        <v>2</v>
      </c>
      <c r="J3" s="16" t="s">
        <v>1</v>
      </c>
      <c r="K3" s="16"/>
      <c r="L3" s="7" t="s">
        <v>2</v>
      </c>
      <c r="N3" s="16" t="s">
        <v>1</v>
      </c>
      <c r="O3" s="16"/>
      <c r="P3" s="7" t="s">
        <v>2</v>
      </c>
    </row>
    <row r="4" spans="2:16" ht="17">
      <c r="B4" s="6" t="s">
        <v>3</v>
      </c>
      <c r="C4" s="6" t="s">
        <v>21</v>
      </c>
      <c r="D4" s="6" t="s">
        <v>23</v>
      </c>
      <c r="F4" s="6" t="s">
        <v>3</v>
      </c>
      <c r="G4" s="6" t="s">
        <v>25</v>
      </c>
      <c r="H4" s="6" t="s">
        <v>26</v>
      </c>
      <c r="J4" s="6" t="s">
        <v>3</v>
      </c>
      <c r="K4" s="6" t="s">
        <v>27</v>
      </c>
      <c r="L4" s="6" t="s">
        <v>29</v>
      </c>
      <c r="N4" s="6" t="s">
        <v>3</v>
      </c>
      <c r="O4" s="6" t="s">
        <v>25</v>
      </c>
      <c r="P4" s="6" t="s">
        <v>32</v>
      </c>
    </row>
    <row r="5" spans="2:16" ht="17">
      <c r="B5" s="6" t="s">
        <v>4</v>
      </c>
      <c r="C5" s="6" t="s">
        <v>22</v>
      </c>
      <c r="D5" s="6" t="s">
        <v>39</v>
      </c>
      <c r="F5" s="6" t="s">
        <v>4</v>
      </c>
      <c r="G5" s="6" t="s">
        <v>22</v>
      </c>
      <c r="H5" s="6" t="s">
        <v>48</v>
      </c>
      <c r="J5" s="6" t="s">
        <v>4</v>
      </c>
      <c r="K5" s="6" t="s">
        <v>28</v>
      </c>
      <c r="L5" s="6" t="s">
        <v>29</v>
      </c>
      <c r="N5" s="6" t="s">
        <v>4</v>
      </c>
      <c r="O5" s="6" t="s">
        <v>22</v>
      </c>
      <c r="P5" s="6" t="s">
        <v>29</v>
      </c>
    </row>
    <row r="6" spans="2:16" ht="17">
      <c r="J6" s="6" t="s">
        <v>5</v>
      </c>
      <c r="K6" s="6" t="s">
        <v>30</v>
      </c>
      <c r="L6" s="6" t="s">
        <v>54</v>
      </c>
      <c r="N6" s="8"/>
      <c r="O6" s="8"/>
      <c r="P6" s="8"/>
    </row>
    <row r="9" spans="2:16" ht="41" customHeight="1">
      <c r="B9" s="16" t="s">
        <v>34</v>
      </c>
      <c r="C9" s="16"/>
      <c r="D9" s="16"/>
      <c r="F9" s="16" t="s">
        <v>37</v>
      </c>
      <c r="G9" s="16"/>
      <c r="H9" s="16"/>
    </row>
    <row r="10" spans="2:16" ht="17">
      <c r="B10" s="16" t="s">
        <v>1</v>
      </c>
      <c r="C10" s="16"/>
      <c r="D10" s="7" t="s">
        <v>2</v>
      </c>
      <c r="F10" s="16" t="s">
        <v>1</v>
      </c>
      <c r="G10" s="16"/>
      <c r="H10" s="7" t="s">
        <v>2</v>
      </c>
    </row>
    <row r="11" spans="2:16" ht="17">
      <c r="B11" s="6" t="s">
        <v>3</v>
      </c>
      <c r="C11" s="6" t="s">
        <v>25</v>
      </c>
      <c r="D11" s="6" t="s">
        <v>35</v>
      </c>
      <c r="F11" s="6" t="s">
        <v>3</v>
      </c>
      <c r="G11" s="6" t="s">
        <v>25</v>
      </c>
      <c r="H11" s="6" t="s">
        <v>36</v>
      </c>
    </row>
    <row r="12" spans="2:16" ht="17">
      <c r="B12" s="6" t="s">
        <v>4</v>
      </c>
      <c r="C12" s="6" t="s">
        <v>22</v>
      </c>
      <c r="D12" s="6" t="s">
        <v>48</v>
      </c>
      <c r="F12" s="6" t="s">
        <v>4</v>
      </c>
      <c r="G12" s="6" t="s">
        <v>22</v>
      </c>
      <c r="H12" s="6" t="s">
        <v>48</v>
      </c>
    </row>
    <row r="14" spans="2:16" ht="52" customHeight="1">
      <c r="B14" s="16" t="s">
        <v>47</v>
      </c>
      <c r="C14" s="16"/>
      <c r="D14" s="16"/>
      <c r="F14" s="16" t="s">
        <v>51</v>
      </c>
      <c r="G14" s="16"/>
      <c r="H14" s="16"/>
      <c r="J14" s="16" t="s">
        <v>47</v>
      </c>
      <c r="K14" s="16"/>
      <c r="L14" s="16"/>
      <c r="N14" s="16" t="s">
        <v>47</v>
      </c>
      <c r="O14" s="16"/>
      <c r="P14" s="16"/>
    </row>
    <row r="15" spans="2:16" ht="17">
      <c r="B15" s="16" t="s">
        <v>1</v>
      </c>
      <c r="C15" s="16"/>
      <c r="D15" s="7" t="s">
        <v>2</v>
      </c>
      <c r="F15" s="16" t="s">
        <v>1</v>
      </c>
      <c r="G15" s="16"/>
      <c r="H15" s="7" t="s">
        <v>2</v>
      </c>
      <c r="J15" s="16" t="s">
        <v>1</v>
      </c>
      <c r="K15" s="16"/>
      <c r="L15" s="7" t="s">
        <v>2</v>
      </c>
      <c r="N15" s="16" t="s">
        <v>1</v>
      </c>
      <c r="O15" s="16"/>
      <c r="P15" s="7" t="s">
        <v>2</v>
      </c>
    </row>
    <row r="16" spans="2:16" ht="34">
      <c r="B16" s="6" t="s">
        <v>3</v>
      </c>
      <c r="C16" s="6" t="s">
        <v>87</v>
      </c>
      <c r="D16" s="6" t="s">
        <v>55</v>
      </c>
      <c r="F16" s="6" t="s">
        <v>3</v>
      </c>
      <c r="G16" s="6" t="s">
        <v>25</v>
      </c>
      <c r="H16" s="6" t="s">
        <v>49</v>
      </c>
      <c r="J16" s="6" t="s">
        <v>3</v>
      </c>
      <c r="K16" s="6" t="s">
        <v>87</v>
      </c>
      <c r="L16" s="6" t="s">
        <v>70</v>
      </c>
      <c r="N16" s="6" t="s">
        <v>3</v>
      </c>
      <c r="O16" s="6" t="s">
        <v>87</v>
      </c>
      <c r="P16" s="6" t="s">
        <v>118</v>
      </c>
    </row>
    <row r="17" spans="2:21" ht="34">
      <c r="B17" s="6" t="s">
        <v>4</v>
      </c>
      <c r="C17" s="6" t="s">
        <v>88</v>
      </c>
      <c r="D17" s="6" t="s">
        <v>56</v>
      </c>
      <c r="F17" s="6" t="s">
        <v>4</v>
      </c>
      <c r="G17" s="6" t="s">
        <v>22</v>
      </c>
      <c r="H17" s="6" t="s">
        <v>50</v>
      </c>
      <c r="J17" s="6" t="s">
        <v>4</v>
      </c>
      <c r="K17" s="6" t="s">
        <v>88</v>
      </c>
      <c r="L17" s="6" t="s">
        <v>71</v>
      </c>
      <c r="N17" s="6" t="s">
        <v>4</v>
      </c>
      <c r="O17" s="6" t="s">
        <v>88</v>
      </c>
      <c r="P17" s="6" t="s">
        <v>119</v>
      </c>
    </row>
    <row r="18" spans="2:21" ht="34">
      <c r="B18" s="6" t="s">
        <v>5</v>
      </c>
      <c r="C18" s="6" t="s">
        <v>89</v>
      </c>
      <c r="D18" s="6" t="s">
        <v>57</v>
      </c>
      <c r="J18" s="6" t="s">
        <v>5</v>
      </c>
      <c r="K18" s="6" t="s">
        <v>89</v>
      </c>
      <c r="L18" s="6" t="s">
        <v>72</v>
      </c>
      <c r="N18" s="6" t="s">
        <v>5</v>
      </c>
      <c r="O18" s="6" t="s">
        <v>89</v>
      </c>
      <c r="P18" s="6" t="s">
        <v>120</v>
      </c>
      <c r="Q18" s="4"/>
      <c r="R18" s="4"/>
      <c r="S18"/>
      <c r="T18"/>
      <c r="U18"/>
    </row>
    <row r="19" spans="2:21" ht="34">
      <c r="B19" s="6" t="s">
        <v>6</v>
      </c>
      <c r="C19" s="6" t="s">
        <v>90</v>
      </c>
      <c r="D19" s="6" t="s">
        <v>58</v>
      </c>
      <c r="J19" s="6" t="s">
        <v>6</v>
      </c>
      <c r="K19" s="6" t="s">
        <v>90</v>
      </c>
      <c r="L19" s="6" t="s">
        <v>73</v>
      </c>
      <c r="N19" s="6" t="s">
        <v>6</v>
      </c>
      <c r="O19" s="6" t="s">
        <v>90</v>
      </c>
      <c r="P19" s="6" t="s">
        <v>121</v>
      </c>
      <c r="Q19" s="4"/>
      <c r="R19" s="4"/>
      <c r="S19"/>
      <c r="T19"/>
      <c r="U19"/>
    </row>
    <row r="20" spans="2:21" ht="34">
      <c r="B20" s="6" t="s">
        <v>7</v>
      </c>
      <c r="C20" s="6" t="s">
        <v>91</v>
      </c>
      <c r="D20" s="6" t="s">
        <v>59</v>
      </c>
      <c r="J20" s="6" t="s">
        <v>7</v>
      </c>
      <c r="K20" s="6" t="s">
        <v>91</v>
      </c>
      <c r="L20" s="6" t="s">
        <v>74</v>
      </c>
      <c r="N20" s="6" t="s">
        <v>7</v>
      </c>
      <c r="O20" s="6" t="s">
        <v>91</v>
      </c>
      <c r="P20" s="6" t="s">
        <v>122</v>
      </c>
      <c r="Q20" s="4"/>
      <c r="R20" s="4"/>
      <c r="S20"/>
      <c r="T20"/>
      <c r="U20"/>
    </row>
    <row r="21" spans="2:21" ht="34">
      <c r="B21" s="6" t="s">
        <v>8</v>
      </c>
      <c r="C21" s="6" t="s">
        <v>92</v>
      </c>
      <c r="D21" s="6" t="s">
        <v>60</v>
      </c>
      <c r="J21" s="6" t="s">
        <v>8</v>
      </c>
      <c r="K21" s="6" t="s">
        <v>92</v>
      </c>
      <c r="L21" s="6" t="s">
        <v>75</v>
      </c>
      <c r="N21" s="6" t="s">
        <v>8</v>
      </c>
      <c r="O21" s="6" t="s">
        <v>92</v>
      </c>
      <c r="P21" s="6" t="s">
        <v>123</v>
      </c>
      <c r="Q21" s="4"/>
      <c r="R21" s="4"/>
      <c r="S21"/>
      <c r="T21"/>
      <c r="U21"/>
    </row>
    <row r="22" spans="2:21" ht="34">
      <c r="B22" s="6" t="s">
        <v>9</v>
      </c>
      <c r="C22" s="6" t="s">
        <v>96</v>
      </c>
      <c r="D22" s="6" t="s">
        <v>61</v>
      </c>
      <c r="J22" s="6" t="s">
        <v>9</v>
      </c>
      <c r="K22" s="6" t="s">
        <v>96</v>
      </c>
      <c r="L22" s="6" t="s">
        <v>109</v>
      </c>
      <c r="N22" s="6" t="s">
        <v>9</v>
      </c>
      <c r="O22" s="6" t="s">
        <v>96</v>
      </c>
      <c r="P22" s="6" t="s">
        <v>124</v>
      </c>
      <c r="Q22" s="4"/>
      <c r="R22" s="4"/>
      <c r="S22"/>
      <c r="T22"/>
      <c r="U22"/>
    </row>
    <row r="23" spans="2:21" ht="34">
      <c r="B23" s="6" t="s">
        <v>93</v>
      </c>
      <c r="C23" s="6" t="s">
        <v>97</v>
      </c>
      <c r="D23" s="6" t="s">
        <v>62</v>
      </c>
      <c r="J23" s="6" t="s">
        <v>93</v>
      </c>
      <c r="K23" s="6" t="s">
        <v>97</v>
      </c>
      <c r="L23" s="6" t="s">
        <v>110</v>
      </c>
      <c r="N23" s="6" t="s">
        <v>93</v>
      </c>
      <c r="O23" s="6" t="s">
        <v>97</v>
      </c>
      <c r="P23" s="6" t="s">
        <v>125</v>
      </c>
    </row>
    <row r="24" spans="2:21" ht="34">
      <c r="B24" s="6" t="s">
        <v>94</v>
      </c>
      <c r="C24" s="6" t="s">
        <v>98</v>
      </c>
      <c r="D24" s="6" t="s">
        <v>63</v>
      </c>
      <c r="J24" s="6" t="s">
        <v>94</v>
      </c>
      <c r="K24" s="6" t="s">
        <v>98</v>
      </c>
      <c r="L24" s="6" t="s">
        <v>111</v>
      </c>
      <c r="N24" s="6" t="s">
        <v>94</v>
      </c>
      <c r="O24" s="6" t="s">
        <v>98</v>
      </c>
      <c r="P24" s="6" t="s">
        <v>126</v>
      </c>
    </row>
    <row r="25" spans="2:21" ht="34">
      <c r="B25" s="6" t="s">
        <v>95</v>
      </c>
      <c r="C25" s="6" t="s">
        <v>99</v>
      </c>
      <c r="D25" s="6" t="s">
        <v>64</v>
      </c>
      <c r="J25" s="6" t="s">
        <v>95</v>
      </c>
      <c r="K25" s="6" t="s">
        <v>99</v>
      </c>
      <c r="L25" s="6" t="s">
        <v>112</v>
      </c>
      <c r="N25" s="6" t="s">
        <v>95</v>
      </c>
      <c r="O25" s="6" t="s">
        <v>99</v>
      </c>
      <c r="P25" s="6" t="s">
        <v>127</v>
      </c>
    </row>
    <row r="26" spans="2:21" ht="34">
      <c r="B26" s="6" t="s">
        <v>100</v>
      </c>
      <c r="C26" s="6" t="s">
        <v>105</v>
      </c>
      <c r="D26" s="6" t="s">
        <v>65</v>
      </c>
      <c r="J26" s="6" t="s">
        <v>100</v>
      </c>
      <c r="K26" s="6" t="s">
        <v>105</v>
      </c>
      <c r="L26" s="6" t="s">
        <v>113</v>
      </c>
      <c r="N26" s="6" t="s">
        <v>100</v>
      </c>
      <c r="O26" s="6" t="s">
        <v>105</v>
      </c>
      <c r="P26" s="6" t="s">
        <v>128</v>
      </c>
    </row>
    <row r="27" spans="2:21" ht="34">
      <c r="B27" s="6" t="s">
        <v>101</v>
      </c>
      <c r="C27" s="6" t="s">
        <v>134</v>
      </c>
      <c r="D27" s="6" t="s">
        <v>66</v>
      </c>
      <c r="J27" s="6" t="s">
        <v>101</v>
      </c>
      <c r="K27" s="6" t="s">
        <v>134</v>
      </c>
      <c r="L27" s="6" t="s">
        <v>114</v>
      </c>
      <c r="N27" s="6" t="s">
        <v>101</v>
      </c>
      <c r="O27" s="6" t="s">
        <v>134</v>
      </c>
      <c r="P27" s="6" t="s">
        <v>129</v>
      </c>
    </row>
    <row r="28" spans="2:21" ht="34">
      <c r="B28" s="6" t="s">
        <v>102</v>
      </c>
      <c r="C28" s="6" t="s">
        <v>106</v>
      </c>
      <c r="D28" s="6" t="s">
        <v>67</v>
      </c>
      <c r="J28" s="6" t="s">
        <v>102</v>
      </c>
      <c r="K28" s="6" t="s">
        <v>106</v>
      </c>
      <c r="L28" s="6" t="s">
        <v>115</v>
      </c>
      <c r="N28" s="6" t="s">
        <v>102</v>
      </c>
      <c r="O28" s="6" t="s">
        <v>106</v>
      </c>
      <c r="P28" s="6" t="s">
        <v>130</v>
      </c>
    </row>
    <row r="29" spans="2:21" ht="34">
      <c r="B29" s="6" t="s">
        <v>103</v>
      </c>
      <c r="C29" s="6" t="s">
        <v>135</v>
      </c>
      <c r="D29" s="6" t="s">
        <v>68</v>
      </c>
      <c r="J29" s="6" t="s">
        <v>103</v>
      </c>
      <c r="K29" s="6" t="s">
        <v>135</v>
      </c>
      <c r="L29" s="6" t="s">
        <v>116</v>
      </c>
      <c r="N29" s="6" t="s">
        <v>103</v>
      </c>
      <c r="O29" s="6" t="s">
        <v>107</v>
      </c>
      <c r="P29" s="6" t="s">
        <v>131</v>
      </c>
    </row>
    <row r="30" spans="2:21" ht="34">
      <c r="B30" s="6" t="s">
        <v>104</v>
      </c>
      <c r="C30" s="6" t="s">
        <v>108</v>
      </c>
      <c r="D30" s="6" t="s">
        <v>69</v>
      </c>
      <c r="J30" s="6" t="s">
        <v>104</v>
      </c>
      <c r="K30" s="6" t="s">
        <v>108</v>
      </c>
      <c r="L30" s="6" t="s">
        <v>117</v>
      </c>
      <c r="N30" s="6" t="s">
        <v>104</v>
      </c>
      <c r="O30" s="6" t="s">
        <v>108</v>
      </c>
      <c r="P30" s="6" t="s">
        <v>136</v>
      </c>
    </row>
  </sheetData>
  <mergeCells count="20">
    <mergeCell ref="B2:D2"/>
    <mergeCell ref="F2:H2"/>
    <mergeCell ref="J2:L2"/>
    <mergeCell ref="N2:P2"/>
    <mergeCell ref="B3:C3"/>
    <mergeCell ref="F3:G3"/>
    <mergeCell ref="J3:K3"/>
    <mergeCell ref="N3:O3"/>
    <mergeCell ref="B9:D9"/>
    <mergeCell ref="F9:H9"/>
    <mergeCell ref="B10:C10"/>
    <mergeCell ref="F10:G10"/>
    <mergeCell ref="B14:D14"/>
    <mergeCell ref="F14:H14"/>
    <mergeCell ref="J14:L14"/>
    <mergeCell ref="N14:P14"/>
    <mergeCell ref="B15:C15"/>
    <mergeCell ref="F15:G15"/>
    <mergeCell ref="J15:K15"/>
    <mergeCell ref="N15:O15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E672-9CA2-9944-9DE8-EC016B7DA03A}">
  <dimension ref="B2:U22"/>
  <sheetViews>
    <sheetView topLeftCell="A8" workbookViewId="0">
      <selection activeCell="R2" sqref="R2"/>
    </sheetView>
  </sheetViews>
  <sheetFormatPr baseColWidth="10" defaultRowHeight="16"/>
  <cols>
    <col min="2" max="2" width="10.83203125" style="5"/>
    <col min="3" max="3" width="39.6640625" style="5" customWidth="1"/>
    <col min="4" max="4" width="15.1640625" style="5" customWidth="1"/>
    <col min="5" max="6" width="10.83203125" style="5"/>
    <col min="7" max="7" width="41.6640625" style="5" customWidth="1"/>
    <col min="8" max="8" width="14" style="5" customWidth="1"/>
    <col min="9" max="10" width="10.83203125" style="5"/>
    <col min="11" max="11" width="37.6640625" style="5" customWidth="1"/>
    <col min="12" max="12" width="15.33203125" style="5" customWidth="1"/>
    <col min="13" max="14" width="10.83203125" style="5"/>
    <col min="15" max="15" width="35.5" style="5" customWidth="1"/>
    <col min="16" max="16" width="16.5" style="5" customWidth="1"/>
    <col min="17" max="19" width="10.83203125" style="5"/>
    <col min="20" max="21" width="10.83203125" style="4"/>
  </cols>
  <sheetData>
    <row r="2" spans="2:16" ht="74" customHeight="1">
      <c r="B2" s="16" t="s">
        <v>38</v>
      </c>
      <c r="C2" s="16"/>
      <c r="D2" s="16"/>
      <c r="F2" s="16" t="s">
        <v>24</v>
      </c>
      <c r="G2" s="16"/>
      <c r="H2" s="16"/>
      <c r="J2" s="16" t="s">
        <v>31</v>
      </c>
      <c r="K2" s="16"/>
      <c r="L2" s="16"/>
      <c r="N2" s="16" t="s">
        <v>33</v>
      </c>
      <c r="O2" s="16"/>
      <c r="P2" s="16"/>
    </row>
    <row r="3" spans="2:16" ht="17">
      <c r="B3" s="16" t="s">
        <v>1</v>
      </c>
      <c r="C3" s="16"/>
      <c r="D3" s="7" t="s">
        <v>2</v>
      </c>
      <c r="F3" s="16" t="s">
        <v>1</v>
      </c>
      <c r="G3" s="16"/>
      <c r="H3" s="7" t="s">
        <v>2</v>
      </c>
      <c r="J3" s="16" t="s">
        <v>1</v>
      </c>
      <c r="K3" s="16"/>
      <c r="L3" s="7" t="s">
        <v>2</v>
      </c>
      <c r="N3" s="16" t="s">
        <v>1</v>
      </c>
      <c r="O3" s="16"/>
      <c r="P3" s="7" t="s">
        <v>2</v>
      </c>
    </row>
    <row r="4" spans="2:16" ht="17">
      <c r="B4" s="6" t="s">
        <v>3</v>
      </c>
      <c r="C4" s="6" t="s">
        <v>21</v>
      </c>
      <c r="D4" s="6" t="s">
        <v>23</v>
      </c>
      <c r="F4" s="6" t="s">
        <v>3</v>
      </c>
      <c r="G4" s="6" t="s">
        <v>25</v>
      </c>
      <c r="H4" s="6" t="s">
        <v>26</v>
      </c>
      <c r="J4" s="6" t="s">
        <v>3</v>
      </c>
      <c r="K4" s="6" t="s">
        <v>27</v>
      </c>
      <c r="L4" s="6" t="s">
        <v>29</v>
      </c>
      <c r="N4" s="6" t="s">
        <v>3</v>
      </c>
      <c r="O4" s="6" t="s">
        <v>25</v>
      </c>
      <c r="P4" s="6" t="s">
        <v>32</v>
      </c>
    </row>
    <row r="5" spans="2:16" ht="17">
      <c r="B5" s="6" t="s">
        <v>4</v>
      </c>
      <c r="C5" s="6" t="s">
        <v>22</v>
      </c>
      <c r="D5" s="6" t="s">
        <v>39</v>
      </c>
      <c r="F5" s="6" t="s">
        <v>4</v>
      </c>
      <c r="G5" s="6" t="s">
        <v>22</v>
      </c>
      <c r="H5" s="6" t="s">
        <v>48</v>
      </c>
      <c r="J5" s="6" t="s">
        <v>4</v>
      </c>
      <c r="K5" s="6" t="s">
        <v>28</v>
      </c>
      <c r="L5" s="6" t="s">
        <v>29</v>
      </c>
      <c r="N5" s="6" t="s">
        <v>4</v>
      </c>
      <c r="O5" s="6" t="s">
        <v>22</v>
      </c>
      <c r="P5" s="6" t="s">
        <v>29</v>
      </c>
    </row>
    <row r="6" spans="2:16" ht="17">
      <c r="J6" s="6" t="s">
        <v>5</v>
      </c>
      <c r="K6" s="6" t="s">
        <v>30</v>
      </c>
      <c r="L6" s="6" t="s">
        <v>54</v>
      </c>
      <c r="N6" s="8"/>
      <c r="O6" s="8"/>
      <c r="P6" s="8"/>
    </row>
    <row r="9" spans="2:16" ht="41" customHeight="1">
      <c r="B9" s="16" t="s">
        <v>34</v>
      </c>
      <c r="C9" s="16"/>
      <c r="D9" s="16"/>
      <c r="F9" s="16" t="s">
        <v>37</v>
      </c>
      <c r="G9" s="16"/>
      <c r="H9" s="16"/>
    </row>
    <row r="10" spans="2:16" ht="17">
      <c r="B10" s="16" t="s">
        <v>1</v>
      </c>
      <c r="C10" s="16"/>
      <c r="D10" s="7" t="s">
        <v>2</v>
      </c>
      <c r="F10" s="16" t="s">
        <v>1</v>
      </c>
      <c r="G10" s="16"/>
      <c r="H10" s="7" t="s">
        <v>2</v>
      </c>
    </row>
    <row r="11" spans="2:16" ht="17">
      <c r="B11" s="6" t="s">
        <v>3</v>
      </c>
      <c r="C11" s="6" t="s">
        <v>25</v>
      </c>
      <c r="D11" s="6" t="s">
        <v>35</v>
      </c>
      <c r="F11" s="6" t="s">
        <v>3</v>
      </c>
      <c r="G11" s="6" t="s">
        <v>25</v>
      </c>
      <c r="H11" s="6" t="s">
        <v>36</v>
      </c>
    </row>
    <row r="12" spans="2:16" ht="17">
      <c r="B12" s="6" t="s">
        <v>4</v>
      </c>
      <c r="C12" s="6" t="s">
        <v>22</v>
      </c>
      <c r="D12" s="6" t="s">
        <v>48</v>
      </c>
      <c r="F12" s="6" t="s">
        <v>4</v>
      </c>
      <c r="G12" s="6" t="s">
        <v>22</v>
      </c>
      <c r="H12" s="6" t="s">
        <v>48</v>
      </c>
    </row>
    <row r="14" spans="2:16" ht="52" customHeight="1">
      <c r="B14" s="16" t="s">
        <v>47</v>
      </c>
      <c r="C14" s="16"/>
      <c r="D14" s="16"/>
      <c r="F14" s="16" t="s">
        <v>51</v>
      </c>
      <c r="G14" s="16"/>
      <c r="H14" s="16"/>
      <c r="J14" s="16" t="s">
        <v>52</v>
      </c>
      <c r="K14" s="16"/>
      <c r="L14" s="16"/>
      <c r="N14" s="16" t="s">
        <v>53</v>
      </c>
      <c r="O14" s="16"/>
      <c r="P14" s="16"/>
    </row>
    <row r="15" spans="2:16" ht="17">
      <c r="B15" s="16" t="s">
        <v>1</v>
      </c>
      <c r="C15" s="16"/>
      <c r="D15" s="7" t="s">
        <v>2</v>
      </c>
      <c r="F15" s="16" t="s">
        <v>1</v>
      </c>
      <c r="G15" s="16"/>
      <c r="H15" s="7" t="s">
        <v>2</v>
      </c>
      <c r="J15" s="16" t="s">
        <v>1</v>
      </c>
      <c r="K15" s="16"/>
      <c r="L15" s="7" t="s">
        <v>2</v>
      </c>
      <c r="N15" s="16" t="s">
        <v>1</v>
      </c>
      <c r="O15" s="16"/>
      <c r="P15" s="7" t="s">
        <v>2</v>
      </c>
    </row>
    <row r="16" spans="2:16" ht="34">
      <c r="B16" s="6" t="s">
        <v>3</v>
      </c>
      <c r="C16" s="6" t="s">
        <v>40</v>
      </c>
      <c r="D16" s="6" t="s">
        <v>55</v>
      </c>
      <c r="F16" s="6" t="s">
        <v>3</v>
      </c>
      <c r="G16" s="6" t="s">
        <v>25</v>
      </c>
      <c r="H16" s="6" t="s">
        <v>49</v>
      </c>
      <c r="J16" s="6" t="s">
        <v>3</v>
      </c>
      <c r="K16" s="6" t="s">
        <v>40</v>
      </c>
      <c r="L16" s="6" t="s">
        <v>62</v>
      </c>
      <c r="N16" s="6" t="s">
        <v>3</v>
      </c>
      <c r="O16" s="6" t="s">
        <v>40</v>
      </c>
      <c r="P16" s="6" t="s">
        <v>69</v>
      </c>
    </row>
    <row r="17" spans="2:21" ht="51">
      <c r="B17" s="6" t="s">
        <v>4</v>
      </c>
      <c r="C17" s="6" t="s">
        <v>41</v>
      </c>
      <c r="D17" s="6" t="s">
        <v>56</v>
      </c>
      <c r="F17" s="6" t="s">
        <v>4</v>
      </c>
      <c r="G17" s="6" t="s">
        <v>22</v>
      </c>
      <c r="H17" s="6" t="s">
        <v>50</v>
      </c>
      <c r="J17" s="6" t="s">
        <v>4</v>
      </c>
      <c r="K17" s="6" t="s">
        <v>41</v>
      </c>
      <c r="L17" s="6" t="s">
        <v>63</v>
      </c>
      <c r="N17" s="6" t="s">
        <v>4</v>
      </c>
      <c r="O17" s="6" t="s">
        <v>41</v>
      </c>
      <c r="P17" s="6" t="s">
        <v>70</v>
      </c>
    </row>
    <row r="18" spans="2:21" ht="34">
      <c r="B18" s="6" t="s">
        <v>5</v>
      </c>
      <c r="C18" s="6" t="s">
        <v>42</v>
      </c>
      <c r="D18" s="6" t="s">
        <v>57</v>
      </c>
      <c r="J18" s="6" t="s">
        <v>5</v>
      </c>
      <c r="K18" s="6" t="s">
        <v>42</v>
      </c>
      <c r="L18" s="6" t="s">
        <v>64</v>
      </c>
      <c r="N18" s="6" t="s">
        <v>5</v>
      </c>
      <c r="O18" s="6" t="s">
        <v>42</v>
      </c>
      <c r="P18" s="6" t="s">
        <v>71</v>
      </c>
      <c r="Q18" s="4"/>
      <c r="R18" s="4"/>
      <c r="S18"/>
      <c r="T18"/>
      <c r="U18"/>
    </row>
    <row r="19" spans="2:21" ht="34">
      <c r="B19" s="6" t="s">
        <v>6</v>
      </c>
      <c r="C19" s="6" t="s">
        <v>43</v>
      </c>
      <c r="D19" s="6" t="s">
        <v>58</v>
      </c>
      <c r="J19" s="6" t="s">
        <v>6</v>
      </c>
      <c r="K19" s="6" t="s">
        <v>43</v>
      </c>
      <c r="L19" s="6" t="s">
        <v>65</v>
      </c>
      <c r="N19" s="6" t="s">
        <v>6</v>
      </c>
      <c r="O19" s="6" t="s">
        <v>43</v>
      </c>
      <c r="P19" s="6" t="s">
        <v>72</v>
      </c>
      <c r="Q19" s="4"/>
      <c r="R19" s="4"/>
      <c r="S19"/>
      <c r="T19"/>
      <c r="U19"/>
    </row>
    <row r="20" spans="2:21" ht="17">
      <c r="B20" s="6" t="s">
        <v>7</v>
      </c>
      <c r="C20" s="6" t="s">
        <v>44</v>
      </c>
      <c r="D20" s="6" t="s">
        <v>59</v>
      </c>
      <c r="J20" s="6" t="s">
        <v>7</v>
      </c>
      <c r="K20" s="6" t="s">
        <v>44</v>
      </c>
      <c r="L20" s="6" t="s">
        <v>66</v>
      </c>
      <c r="N20" s="6" t="s">
        <v>7</v>
      </c>
      <c r="O20" s="6" t="s">
        <v>44</v>
      </c>
      <c r="P20" s="6" t="s">
        <v>73</v>
      </c>
      <c r="Q20" s="4"/>
      <c r="R20" s="4"/>
      <c r="S20"/>
      <c r="T20"/>
      <c r="U20"/>
    </row>
    <row r="21" spans="2:21" ht="17">
      <c r="B21" s="6" t="s">
        <v>8</v>
      </c>
      <c r="C21" s="6" t="s">
        <v>45</v>
      </c>
      <c r="D21" s="6" t="s">
        <v>60</v>
      </c>
      <c r="J21" s="6" t="s">
        <v>8</v>
      </c>
      <c r="K21" s="6" t="s">
        <v>45</v>
      </c>
      <c r="L21" s="6" t="s">
        <v>67</v>
      </c>
      <c r="N21" s="6" t="s">
        <v>8</v>
      </c>
      <c r="O21" s="6" t="s">
        <v>45</v>
      </c>
      <c r="P21" s="6" t="s">
        <v>74</v>
      </c>
      <c r="Q21" s="4"/>
      <c r="R21" s="4"/>
      <c r="S21"/>
      <c r="T21"/>
      <c r="U21"/>
    </row>
    <row r="22" spans="2:21" ht="17">
      <c r="B22" s="6" t="s">
        <v>9</v>
      </c>
      <c r="C22" s="6" t="s">
        <v>46</v>
      </c>
      <c r="D22" s="6" t="s">
        <v>61</v>
      </c>
      <c r="J22" s="6" t="s">
        <v>9</v>
      </c>
      <c r="K22" s="6" t="s">
        <v>46</v>
      </c>
      <c r="L22" s="6" t="s">
        <v>68</v>
      </c>
      <c r="N22" s="6" t="s">
        <v>9</v>
      </c>
      <c r="O22" s="6" t="s">
        <v>46</v>
      </c>
      <c r="P22" s="6" t="s">
        <v>75</v>
      </c>
      <c r="Q22" s="4"/>
      <c r="R22" s="4"/>
      <c r="S22"/>
      <c r="T22"/>
      <c r="U22"/>
    </row>
  </sheetData>
  <mergeCells count="20">
    <mergeCell ref="B2:D2"/>
    <mergeCell ref="F2:H2"/>
    <mergeCell ref="J2:L2"/>
    <mergeCell ref="N2:P2"/>
    <mergeCell ref="B3:C3"/>
    <mergeCell ref="F3:G3"/>
    <mergeCell ref="J3:K3"/>
    <mergeCell ref="N3:O3"/>
    <mergeCell ref="B9:D9"/>
    <mergeCell ref="F9:H9"/>
    <mergeCell ref="B10:C10"/>
    <mergeCell ref="F10:G10"/>
    <mergeCell ref="B14:D14"/>
    <mergeCell ref="F14:H14"/>
    <mergeCell ref="J14:L14"/>
    <mergeCell ref="N14:P14"/>
    <mergeCell ref="B15:C15"/>
    <mergeCell ref="F15:G15"/>
    <mergeCell ref="J15:K15"/>
    <mergeCell ref="N15:O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F456-38A3-2A4E-80E4-0E202B9AA248}">
  <dimension ref="B2:U22"/>
  <sheetViews>
    <sheetView topLeftCell="A9" workbookViewId="0">
      <selection activeCell="R2" sqref="R2"/>
    </sheetView>
  </sheetViews>
  <sheetFormatPr baseColWidth="10" defaultRowHeight="16"/>
  <cols>
    <col min="2" max="2" width="10.83203125" style="5"/>
    <col min="3" max="3" width="39.6640625" style="5" customWidth="1"/>
    <col min="4" max="4" width="15.1640625" style="5" customWidth="1"/>
    <col min="5" max="6" width="10.83203125" style="5"/>
    <col min="7" max="7" width="41.6640625" style="5" customWidth="1"/>
    <col min="8" max="8" width="14" style="5" customWidth="1"/>
    <col min="9" max="10" width="10.83203125" style="5"/>
    <col min="11" max="11" width="37.6640625" style="5" customWidth="1"/>
    <col min="12" max="12" width="15.33203125" style="5" customWidth="1"/>
    <col min="13" max="14" width="10.83203125" style="5"/>
    <col min="15" max="15" width="35.5" style="5" customWidth="1"/>
    <col min="16" max="16" width="16.5" style="5" customWidth="1"/>
    <col min="17" max="19" width="10.83203125" style="5"/>
    <col min="20" max="21" width="10.83203125" style="4"/>
  </cols>
  <sheetData>
    <row r="2" spans="2:16" ht="74" customHeight="1">
      <c r="B2" s="16" t="s">
        <v>38</v>
      </c>
      <c r="C2" s="16"/>
      <c r="D2" s="16"/>
      <c r="F2" s="16" t="s">
        <v>24</v>
      </c>
      <c r="G2" s="16"/>
      <c r="H2" s="16"/>
      <c r="J2" s="16" t="s">
        <v>31</v>
      </c>
      <c r="K2" s="16"/>
      <c r="L2" s="16"/>
      <c r="N2" s="16" t="s">
        <v>33</v>
      </c>
      <c r="O2" s="16"/>
      <c r="P2" s="16"/>
    </row>
    <row r="3" spans="2:16" ht="17">
      <c r="B3" s="16" t="s">
        <v>1</v>
      </c>
      <c r="C3" s="16"/>
      <c r="D3" s="7" t="s">
        <v>2</v>
      </c>
      <c r="F3" s="16" t="s">
        <v>1</v>
      </c>
      <c r="G3" s="16"/>
      <c r="H3" s="7" t="s">
        <v>2</v>
      </c>
      <c r="J3" s="16" t="s">
        <v>1</v>
      </c>
      <c r="K3" s="16"/>
      <c r="L3" s="7" t="s">
        <v>2</v>
      </c>
      <c r="N3" s="16" t="s">
        <v>1</v>
      </c>
      <c r="O3" s="16"/>
      <c r="P3" s="7" t="s">
        <v>2</v>
      </c>
    </row>
    <row r="4" spans="2:16" ht="17">
      <c r="B4" s="6" t="s">
        <v>3</v>
      </c>
      <c r="C4" s="6" t="s">
        <v>21</v>
      </c>
      <c r="D4" s="6" t="s">
        <v>23</v>
      </c>
      <c r="F4" s="6" t="s">
        <v>3</v>
      </c>
      <c r="G4" s="6" t="s">
        <v>25</v>
      </c>
      <c r="H4" s="6" t="s">
        <v>26</v>
      </c>
      <c r="J4" s="6" t="s">
        <v>3</v>
      </c>
      <c r="K4" s="6" t="s">
        <v>27</v>
      </c>
      <c r="L4" s="6" t="s">
        <v>29</v>
      </c>
      <c r="N4" s="6" t="s">
        <v>3</v>
      </c>
      <c r="O4" s="6" t="s">
        <v>25</v>
      </c>
      <c r="P4" s="6" t="s">
        <v>32</v>
      </c>
    </row>
    <row r="5" spans="2:16" ht="17">
      <c r="B5" s="6" t="s">
        <v>4</v>
      </c>
      <c r="C5" s="6" t="s">
        <v>22</v>
      </c>
      <c r="D5" s="6" t="s">
        <v>39</v>
      </c>
      <c r="F5" s="6" t="s">
        <v>4</v>
      </c>
      <c r="G5" s="6" t="s">
        <v>22</v>
      </c>
      <c r="H5" s="6" t="s">
        <v>48</v>
      </c>
      <c r="J5" s="6" t="s">
        <v>4</v>
      </c>
      <c r="K5" s="6" t="s">
        <v>28</v>
      </c>
      <c r="L5" s="6" t="s">
        <v>29</v>
      </c>
      <c r="N5" s="6" t="s">
        <v>4</v>
      </c>
      <c r="O5" s="6" t="s">
        <v>22</v>
      </c>
      <c r="P5" s="6" t="s">
        <v>29</v>
      </c>
    </row>
    <row r="6" spans="2:16" ht="17">
      <c r="J6" s="6" t="s">
        <v>5</v>
      </c>
      <c r="K6" s="6" t="s">
        <v>30</v>
      </c>
      <c r="L6" s="6" t="s">
        <v>54</v>
      </c>
      <c r="N6" s="8"/>
      <c r="O6" s="8"/>
      <c r="P6" s="8"/>
    </row>
    <row r="9" spans="2:16" ht="41" customHeight="1">
      <c r="B9" s="16" t="s">
        <v>34</v>
      </c>
      <c r="C9" s="16"/>
      <c r="D9" s="16"/>
      <c r="F9" s="16" t="s">
        <v>37</v>
      </c>
      <c r="G9" s="16"/>
      <c r="H9" s="16"/>
    </row>
    <row r="10" spans="2:16" ht="17">
      <c r="B10" s="16" t="s">
        <v>1</v>
      </c>
      <c r="C10" s="16"/>
      <c r="D10" s="7" t="s">
        <v>2</v>
      </c>
      <c r="F10" s="16" t="s">
        <v>1</v>
      </c>
      <c r="G10" s="16"/>
      <c r="H10" s="7" t="s">
        <v>2</v>
      </c>
    </row>
    <row r="11" spans="2:16" ht="17">
      <c r="B11" s="6" t="s">
        <v>3</v>
      </c>
      <c r="C11" s="6" t="s">
        <v>25</v>
      </c>
      <c r="D11" s="6" t="s">
        <v>35</v>
      </c>
      <c r="F11" s="6" t="s">
        <v>3</v>
      </c>
      <c r="G11" s="6" t="s">
        <v>25</v>
      </c>
      <c r="H11" s="6" t="s">
        <v>36</v>
      </c>
    </row>
    <row r="12" spans="2:16" ht="17">
      <c r="B12" s="6" t="s">
        <v>4</v>
      </c>
      <c r="C12" s="6" t="s">
        <v>22</v>
      </c>
      <c r="D12" s="6" t="s">
        <v>48</v>
      </c>
      <c r="F12" s="6" t="s">
        <v>4</v>
      </c>
      <c r="G12" s="6" t="s">
        <v>22</v>
      </c>
      <c r="H12" s="6" t="s">
        <v>48</v>
      </c>
    </row>
    <row r="14" spans="2:16" ht="52" customHeight="1">
      <c r="B14" s="16" t="s">
        <v>47</v>
      </c>
      <c r="C14" s="16"/>
      <c r="D14" s="16"/>
      <c r="F14" s="16" t="s">
        <v>51</v>
      </c>
      <c r="G14" s="16"/>
      <c r="H14" s="16"/>
      <c r="J14" s="16" t="s">
        <v>52</v>
      </c>
      <c r="K14" s="16"/>
      <c r="L14" s="16"/>
      <c r="N14" s="16" t="s">
        <v>53</v>
      </c>
      <c r="O14" s="16"/>
      <c r="P14" s="16"/>
    </row>
    <row r="15" spans="2:16" ht="17">
      <c r="B15" s="16" t="s">
        <v>1</v>
      </c>
      <c r="C15" s="16"/>
      <c r="D15" s="7" t="s">
        <v>2</v>
      </c>
      <c r="F15" s="16" t="s">
        <v>1</v>
      </c>
      <c r="G15" s="16"/>
      <c r="H15" s="7" t="s">
        <v>2</v>
      </c>
      <c r="J15" s="16" t="s">
        <v>1</v>
      </c>
      <c r="K15" s="16"/>
      <c r="L15" s="7" t="s">
        <v>2</v>
      </c>
      <c r="N15" s="16" t="s">
        <v>1</v>
      </c>
      <c r="O15" s="16"/>
      <c r="P15" s="7" t="s">
        <v>2</v>
      </c>
    </row>
    <row r="16" spans="2:16" ht="34">
      <c r="B16" s="6" t="s">
        <v>3</v>
      </c>
      <c r="C16" s="6" t="s">
        <v>40</v>
      </c>
      <c r="D16" s="6" t="s">
        <v>55</v>
      </c>
      <c r="F16" s="6" t="s">
        <v>3</v>
      </c>
      <c r="G16" s="6" t="s">
        <v>25</v>
      </c>
      <c r="H16" s="6" t="s">
        <v>49</v>
      </c>
      <c r="J16" s="6" t="s">
        <v>3</v>
      </c>
      <c r="K16" s="6" t="s">
        <v>40</v>
      </c>
      <c r="L16" s="6" t="s">
        <v>62</v>
      </c>
      <c r="N16" s="6" t="s">
        <v>3</v>
      </c>
      <c r="O16" s="6" t="s">
        <v>40</v>
      </c>
      <c r="P16" s="6" t="s">
        <v>69</v>
      </c>
    </row>
    <row r="17" spans="2:21" ht="51">
      <c r="B17" s="6" t="s">
        <v>4</v>
      </c>
      <c r="C17" s="6" t="s">
        <v>41</v>
      </c>
      <c r="D17" s="6" t="s">
        <v>56</v>
      </c>
      <c r="F17" s="6" t="s">
        <v>4</v>
      </c>
      <c r="G17" s="6" t="s">
        <v>22</v>
      </c>
      <c r="H17" s="6" t="s">
        <v>50</v>
      </c>
      <c r="J17" s="6" t="s">
        <v>4</v>
      </c>
      <c r="K17" s="6" t="s">
        <v>41</v>
      </c>
      <c r="L17" s="6" t="s">
        <v>63</v>
      </c>
      <c r="N17" s="6" t="s">
        <v>4</v>
      </c>
      <c r="O17" s="6" t="s">
        <v>41</v>
      </c>
      <c r="P17" s="6" t="s">
        <v>70</v>
      </c>
    </row>
    <row r="18" spans="2:21" ht="34">
      <c r="B18" s="6" t="s">
        <v>5</v>
      </c>
      <c r="C18" s="6" t="s">
        <v>42</v>
      </c>
      <c r="D18" s="6" t="s">
        <v>57</v>
      </c>
      <c r="J18" s="6" t="s">
        <v>5</v>
      </c>
      <c r="K18" s="6" t="s">
        <v>42</v>
      </c>
      <c r="L18" s="6" t="s">
        <v>64</v>
      </c>
      <c r="N18" s="6" t="s">
        <v>5</v>
      </c>
      <c r="O18" s="6" t="s">
        <v>42</v>
      </c>
      <c r="P18" s="6" t="s">
        <v>71</v>
      </c>
      <c r="Q18" s="4"/>
      <c r="R18" s="4"/>
      <c r="S18"/>
      <c r="T18"/>
      <c r="U18"/>
    </row>
    <row r="19" spans="2:21" ht="34">
      <c r="B19" s="6" t="s">
        <v>6</v>
      </c>
      <c r="C19" s="6" t="s">
        <v>43</v>
      </c>
      <c r="D19" s="6" t="s">
        <v>58</v>
      </c>
      <c r="J19" s="6" t="s">
        <v>6</v>
      </c>
      <c r="K19" s="6" t="s">
        <v>43</v>
      </c>
      <c r="L19" s="6" t="s">
        <v>65</v>
      </c>
      <c r="N19" s="6" t="s">
        <v>6</v>
      </c>
      <c r="O19" s="6" t="s">
        <v>43</v>
      </c>
      <c r="P19" s="6" t="s">
        <v>72</v>
      </c>
      <c r="Q19" s="4"/>
      <c r="R19" s="4"/>
      <c r="S19"/>
      <c r="T19"/>
      <c r="U19"/>
    </row>
    <row r="20" spans="2:21" ht="17">
      <c r="B20" s="6" t="s">
        <v>7</v>
      </c>
      <c r="C20" s="6" t="s">
        <v>44</v>
      </c>
      <c r="D20" s="6" t="s">
        <v>59</v>
      </c>
      <c r="J20" s="6" t="s">
        <v>7</v>
      </c>
      <c r="K20" s="6" t="s">
        <v>44</v>
      </c>
      <c r="L20" s="6" t="s">
        <v>66</v>
      </c>
      <c r="N20" s="6" t="s">
        <v>7</v>
      </c>
      <c r="O20" s="6" t="s">
        <v>44</v>
      </c>
      <c r="P20" s="6" t="s">
        <v>73</v>
      </c>
      <c r="Q20" s="4"/>
      <c r="R20" s="4"/>
      <c r="S20"/>
      <c r="T20"/>
      <c r="U20"/>
    </row>
    <row r="21" spans="2:21" ht="17">
      <c r="B21" s="6" t="s">
        <v>8</v>
      </c>
      <c r="C21" s="6" t="s">
        <v>45</v>
      </c>
      <c r="D21" s="6" t="s">
        <v>60</v>
      </c>
      <c r="J21" s="6" t="s">
        <v>8</v>
      </c>
      <c r="K21" s="6" t="s">
        <v>45</v>
      </c>
      <c r="L21" s="6" t="s">
        <v>67</v>
      </c>
      <c r="N21" s="6" t="s">
        <v>8</v>
      </c>
      <c r="O21" s="6" t="s">
        <v>45</v>
      </c>
      <c r="P21" s="6" t="s">
        <v>74</v>
      </c>
      <c r="Q21" s="4"/>
      <c r="R21" s="4"/>
      <c r="S21"/>
      <c r="T21"/>
      <c r="U21"/>
    </row>
    <row r="22" spans="2:21" ht="17">
      <c r="B22" s="6" t="s">
        <v>9</v>
      </c>
      <c r="C22" s="6" t="s">
        <v>46</v>
      </c>
      <c r="D22" s="6" t="s">
        <v>61</v>
      </c>
      <c r="J22" s="6" t="s">
        <v>9</v>
      </c>
      <c r="K22" s="6" t="s">
        <v>46</v>
      </c>
      <c r="L22" s="6" t="s">
        <v>68</v>
      </c>
      <c r="N22" s="6" t="s">
        <v>9</v>
      </c>
      <c r="O22" s="6" t="s">
        <v>46</v>
      </c>
      <c r="P22" s="6" t="s">
        <v>75</v>
      </c>
      <c r="Q22" s="4"/>
      <c r="R22" s="4"/>
      <c r="S22"/>
      <c r="T22"/>
      <c r="U22"/>
    </row>
  </sheetData>
  <mergeCells count="20">
    <mergeCell ref="B2:D2"/>
    <mergeCell ref="F2:H2"/>
    <mergeCell ref="J2:L2"/>
    <mergeCell ref="N2:P2"/>
    <mergeCell ref="B3:C3"/>
    <mergeCell ref="F3:G3"/>
    <mergeCell ref="J3:K3"/>
    <mergeCell ref="N3:O3"/>
    <mergeCell ref="B9:D9"/>
    <mergeCell ref="F9:H9"/>
    <mergeCell ref="B10:C10"/>
    <mergeCell ref="F10:G10"/>
    <mergeCell ref="B14:D14"/>
    <mergeCell ref="F14:H14"/>
    <mergeCell ref="J14:L14"/>
    <mergeCell ref="N14:P14"/>
    <mergeCell ref="B15:C15"/>
    <mergeCell ref="F15:G15"/>
    <mergeCell ref="J15:K15"/>
    <mergeCell ref="N15:O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9B42-583A-2349-8ABF-9D38D2AED90B}">
  <dimension ref="B2:X125"/>
  <sheetViews>
    <sheetView tabSelected="1" topLeftCell="D1" workbookViewId="0">
      <selection activeCell="AA30" sqref="AA30"/>
    </sheetView>
  </sheetViews>
  <sheetFormatPr baseColWidth="10" defaultRowHeight="16"/>
  <cols>
    <col min="2" max="2" width="10.83203125" style="4"/>
    <col min="3" max="3" width="24.83203125" style="4" customWidth="1"/>
    <col min="4" max="4" width="27.83203125" style="12" customWidth="1"/>
    <col min="5" max="8" width="10.83203125" style="4"/>
    <col min="9" max="9" width="24.83203125" style="4" customWidth="1"/>
    <col min="10" max="10" width="22.33203125" style="4" customWidth="1"/>
    <col min="11" max="11" width="10.83203125" style="4"/>
    <col min="15" max="15" width="23.1640625" customWidth="1"/>
    <col min="16" max="16" width="24.6640625" customWidth="1"/>
    <col min="21" max="21" width="22.6640625" customWidth="1"/>
    <col min="22" max="22" width="21.33203125" customWidth="1"/>
  </cols>
  <sheetData>
    <row r="2" spans="2:24">
      <c r="B2" s="25" t="s">
        <v>76</v>
      </c>
      <c r="C2" s="25"/>
      <c r="D2" s="25"/>
      <c r="E2" s="25"/>
      <c r="F2" s="25"/>
      <c r="G2" s="9"/>
      <c r="H2" s="25" t="s">
        <v>132</v>
      </c>
      <c r="I2" s="25"/>
      <c r="J2" s="25"/>
      <c r="K2" s="25"/>
      <c r="L2" s="25"/>
      <c r="N2" s="25" t="s">
        <v>137</v>
      </c>
      <c r="O2" s="25"/>
      <c r="P2" s="25"/>
      <c r="Q2" s="25"/>
      <c r="R2" s="25"/>
      <c r="T2" s="25" t="s">
        <v>138</v>
      </c>
      <c r="U2" s="25"/>
      <c r="V2" s="25"/>
      <c r="W2" s="25"/>
      <c r="X2" s="25"/>
    </row>
    <row r="3" spans="2:24">
      <c r="N3" s="4"/>
      <c r="O3" s="4"/>
      <c r="P3" s="12"/>
      <c r="Q3" s="4"/>
      <c r="R3" s="4"/>
      <c r="T3" s="4"/>
      <c r="U3" s="4"/>
      <c r="V3" s="12"/>
      <c r="W3" s="4"/>
      <c r="X3" s="4"/>
    </row>
    <row r="4" spans="2:24">
      <c r="B4" s="10" t="s">
        <v>77</v>
      </c>
      <c r="C4" s="10" t="s">
        <v>78</v>
      </c>
      <c r="D4" s="11" t="s">
        <v>83</v>
      </c>
      <c r="E4" s="25" t="s">
        <v>85</v>
      </c>
      <c r="F4" s="25"/>
      <c r="H4" s="10" t="s">
        <v>77</v>
      </c>
      <c r="I4" s="10" t="s">
        <v>78</v>
      </c>
      <c r="J4" s="11" t="s">
        <v>83</v>
      </c>
      <c r="K4" s="25" t="s">
        <v>85</v>
      </c>
      <c r="L4" s="25"/>
      <c r="N4" s="10" t="s">
        <v>77</v>
      </c>
      <c r="O4" s="10" t="s">
        <v>78</v>
      </c>
      <c r="P4" s="11" t="s">
        <v>83</v>
      </c>
      <c r="Q4" s="25" t="s">
        <v>85</v>
      </c>
      <c r="R4" s="25"/>
      <c r="T4" s="10" t="s">
        <v>77</v>
      </c>
      <c r="U4" s="10" t="s">
        <v>78</v>
      </c>
      <c r="V4" s="11" t="s">
        <v>83</v>
      </c>
      <c r="W4" s="25" t="s">
        <v>85</v>
      </c>
      <c r="X4" s="25"/>
    </row>
    <row r="5" spans="2:24">
      <c r="B5" s="2">
        <v>1</v>
      </c>
      <c r="C5" s="2" t="s">
        <v>79</v>
      </c>
      <c r="D5" s="13">
        <v>0</v>
      </c>
      <c r="E5" s="15">
        <v>0</v>
      </c>
      <c r="F5" s="15"/>
      <c r="H5" s="2">
        <v>1</v>
      </c>
      <c r="I5" s="2" t="s">
        <v>79</v>
      </c>
      <c r="J5" s="13">
        <v>0</v>
      </c>
      <c r="K5" s="15">
        <v>0</v>
      </c>
      <c r="L5" s="15"/>
      <c r="N5" s="2">
        <v>1</v>
      </c>
      <c r="O5" s="2" t="s">
        <v>79</v>
      </c>
      <c r="P5" s="13">
        <v>0</v>
      </c>
      <c r="Q5" s="15">
        <v>0</v>
      </c>
      <c r="R5" s="15"/>
      <c r="T5" s="2">
        <v>1</v>
      </c>
      <c r="U5" s="2" t="s">
        <v>79</v>
      </c>
      <c r="V5" s="13">
        <v>0</v>
      </c>
      <c r="W5" s="15">
        <v>0</v>
      </c>
      <c r="X5" s="15"/>
    </row>
    <row r="6" spans="2:24">
      <c r="B6" s="17">
        <v>2</v>
      </c>
      <c r="C6" s="2" t="s">
        <v>80</v>
      </c>
      <c r="D6" s="13" t="s">
        <v>81</v>
      </c>
      <c r="E6" s="26">
        <f>SUM(D6:D8)</f>
        <v>10967.2</v>
      </c>
      <c r="F6" s="15"/>
      <c r="H6" s="17">
        <v>2</v>
      </c>
      <c r="I6" s="2" t="s">
        <v>80</v>
      </c>
      <c r="J6" s="13" t="s">
        <v>81</v>
      </c>
      <c r="K6" s="26">
        <f>SUM(J6:J8)</f>
        <v>10967.2</v>
      </c>
      <c r="L6" s="15"/>
      <c r="N6" s="17">
        <v>2</v>
      </c>
      <c r="O6" s="2" t="s">
        <v>80</v>
      </c>
      <c r="P6" s="13" t="s">
        <v>81</v>
      </c>
      <c r="Q6" s="26">
        <f>SUM(P6:P8)</f>
        <v>10967.2</v>
      </c>
      <c r="R6" s="15"/>
      <c r="T6" s="17">
        <v>2</v>
      </c>
      <c r="U6" s="2" t="s">
        <v>82</v>
      </c>
      <c r="V6" s="13">
        <v>7883.2</v>
      </c>
      <c r="W6" s="19">
        <f>SUM(V6:V7)</f>
        <v>10967.2</v>
      </c>
      <c r="X6" s="20"/>
    </row>
    <row r="7" spans="2:24">
      <c r="B7" s="27"/>
      <c r="C7" s="2" t="s">
        <v>82</v>
      </c>
      <c r="D7" s="13">
        <v>7883.2</v>
      </c>
      <c r="E7" s="15"/>
      <c r="F7" s="15"/>
      <c r="H7" s="27"/>
      <c r="I7" s="2" t="s">
        <v>133</v>
      </c>
      <c r="J7" s="13">
        <v>7883.2</v>
      </c>
      <c r="K7" s="15"/>
      <c r="L7" s="15"/>
      <c r="N7" s="27"/>
      <c r="O7" s="2" t="s">
        <v>82</v>
      </c>
      <c r="P7" s="13">
        <v>7883.2</v>
      </c>
      <c r="Q7" s="15"/>
      <c r="R7" s="15"/>
      <c r="T7" s="18"/>
      <c r="U7" s="2" t="s">
        <v>84</v>
      </c>
      <c r="V7" s="13">
        <v>3084</v>
      </c>
      <c r="W7" s="21"/>
      <c r="X7" s="22"/>
    </row>
    <row r="8" spans="2:24">
      <c r="B8" s="18"/>
      <c r="C8" s="2" t="s">
        <v>84</v>
      </c>
      <c r="D8" s="13">
        <v>3084</v>
      </c>
      <c r="E8" s="15"/>
      <c r="F8" s="15"/>
      <c r="H8" s="18"/>
      <c r="I8" s="2" t="s">
        <v>84</v>
      </c>
      <c r="J8" s="13">
        <v>3084</v>
      </c>
      <c r="K8" s="15"/>
      <c r="L8" s="15"/>
      <c r="N8" s="18"/>
      <c r="O8" s="2" t="s">
        <v>84</v>
      </c>
      <c r="P8" s="13">
        <v>3084</v>
      </c>
      <c r="Q8" s="15"/>
      <c r="R8" s="15"/>
      <c r="T8" s="17">
        <v>3</v>
      </c>
      <c r="U8" s="2" t="s">
        <v>82</v>
      </c>
      <c r="V8" s="13">
        <v>13325</v>
      </c>
      <c r="W8" s="19">
        <f t="shared" ref="W8" si="0">SUM(V8:V9)</f>
        <v>16409</v>
      </c>
      <c r="X8" s="20"/>
    </row>
    <row r="9" spans="2:24">
      <c r="B9" s="15">
        <v>3</v>
      </c>
      <c r="C9" s="2" t="s">
        <v>80</v>
      </c>
      <c r="D9" s="13" t="s">
        <v>81</v>
      </c>
      <c r="E9" s="26">
        <f>SUM(D9:D11)</f>
        <v>16409</v>
      </c>
      <c r="F9" s="15"/>
      <c r="H9" s="15">
        <v>3</v>
      </c>
      <c r="I9" s="2" t="s">
        <v>80</v>
      </c>
      <c r="J9" s="13" t="s">
        <v>81</v>
      </c>
      <c r="K9" s="26">
        <f>SUM(J9:J11)</f>
        <v>12303.6</v>
      </c>
      <c r="L9" s="15"/>
      <c r="N9" s="15">
        <v>3</v>
      </c>
      <c r="O9" s="2" t="s">
        <v>80</v>
      </c>
      <c r="P9" s="13" t="s">
        <v>81</v>
      </c>
      <c r="Q9" s="26">
        <f>SUM(P9:P11)</f>
        <v>16409</v>
      </c>
      <c r="R9" s="15"/>
      <c r="T9" s="18"/>
      <c r="U9" s="2" t="s">
        <v>84</v>
      </c>
      <c r="V9" s="13">
        <v>3084</v>
      </c>
      <c r="W9" s="21"/>
      <c r="X9" s="22"/>
    </row>
    <row r="10" spans="2:24">
      <c r="B10" s="15"/>
      <c r="C10" s="2" t="s">
        <v>82</v>
      </c>
      <c r="D10" s="13">
        <v>13325</v>
      </c>
      <c r="E10" s="15"/>
      <c r="F10" s="15"/>
      <c r="H10" s="15"/>
      <c r="I10" s="2" t="s">
        <v>133</v>
      </c>
      <c r="J10" s="13">
        <v>9219.6</v>
      </c>
      <c r="K10" s="15"/>
      <c r="L10" s="15"/>
      <c r="N10" s="15"/>
      <c r="O10" s="2" t="s">
        <v>82</v>
      </c>
      <c r="P10" s="13">
        <v>13325</v>
      </c>
      <c r="Q10" s="15"/>
      <c r="R10" s="15"/>
      <c r="T10" s="17">
        <v>4</v>
      </c>
      <c r="U10" s="2" t="s">
        <v>82</v>
      </c>
      <c r="V10" s="13">
        <v>9219.6</v>
      </c>
      <c r="W10" s="19">
        <f t="shared" ref="W10" si="1">SUM(V10:V11)</f>
        <v>12303.6</v>
      </c>
      <c r="X10" s="20"/>
    </row>
    <row r="11" spans="2:24">
      <c r="B11" s="15"/>
      <c r="C11" s="2" t="s">
        <v>84</v>
      </c>
      <c r="D11" s="13">
        <v>3084</v>
      </c>
      <c r="E11" s="15"/>
      <c r="F11" s="15"/>
      <c r="H11" s="15"/>
      <c r="I11" s="2" t="s">
        <v>84</v>
      </c>
      <c r="J11" s="13">
        <v>3084</v>
      </c>
      <c r="K11" s="15"/>
      <c r="L11" s="15"/>
      <c r="N11" s="15"/>
      <c r="O11" s="2" t="s">
        <v>84</v>
      </c>
      <c r="P11" s="13">
        <v>3084</v>
      </c>
      <c r="Q11" s="15"/>
      <c r="R11" s="15"/>
      <c r="T11" s="18"/>
      <c r="U11" s="2" t="s">
        <v>84</v>
      </c>
      <c r="V11" s="13">
        <v>3084</v>
      </c>
      <c r="W11" s="21"/>
      <c r="X11" s="22"/>
    </row>
    <row r="12" spans="2:24">
      <c r="B12" s="15">
        <v>4</v>
      </c>
      <c r="C12" s="2" t="s">
        <v>80</v>
      </c>
      <c r="D12" s="13" t="s">
        <v>86</v>
      </c>
      <c r="E12" s="26">
        <f>SUM(D12:D14)</f>
        <v>12303.6</v>
      </c>
      <c r="F12" s="15"/>
      <c r="H12" s="15">
        <v>4</v>
      </c>
      <c r="I12" s="2" t="s">
        <v>80</v>
      </c>
      <c r="J12" s="13" t="s">
        <v>86</v>
      </c>
      <c r="K12" s="26">
        <f>SUM(J12:J14)</f>
        <v>16409</v>
      </c>
      <c r="L12" s="15"/>
      <c r="N12" s="15">
        <v>4</v>
      </c>
      <c r="O12" s="2" t="s">
        <v>80</v>
      </c>
      <c r="P12" s="13" t="s">
        <v>86</v>
      </c>
      <c r="Q12" s="26">
        <f>SUM(P12:P14)</f>
        <v>12303.6</v>
      </c>
      <c r="R12" s="15"/>
      <c r="T12" s="17">
        <v>5</v>
      </c>
      <c r="U12" s="2" t="s">
        <v>82</v>
      </c>
      <c r="V12" s="13">
        <v>13325</v>
      </c>
      <c r="W12" s="19">
        <f t="shared" ref="W12" si="2">SUM(V12:V13)</f>
        <v>16409</v>
      </c>
      <c r="X12" s="20"/>
    </row>
    <row r="13" spans="2:24">
      <c r="B13" s="15"/>
      <c r="C13" s="2" t="s">
        <v>82</v>
      </c>
      <c r="D13" s="13">
        <v>9219.6</v>
      </c>
      <c r="E13" s="15"/>
      <c r="F13" s="15"/>
      <c r="H13" s="15"/>
      <c r="I13" s="2" t="s">
        <v>133</v>
      </c>
      <c r="J13" s="13">
        <v>13325</v>
      </c>
      <c r="K13" s="15"/>
      <c r="L13" s="15"/>
      <c r="N13" s="15"/>
      <c r="O13" s="2" t="s">
        <v>82</v>
      </c>
      <c r="P13" s="13">
        <v>9219.6</v>
      </c>
      <c r="Q13" s="15"/>
      <c r="R13" s="15"/>
      <c r="T13" s="18"/>
      <c r="U13" s="2" t="s">
        <v>84</v>
      </c>
      <c r="V13" s="13">
        <v>3084</v>
      </c>
      <c r="W13" s="21"/>
      <c r="X13" s="22"/>
    </row>
    <row r="14" spans="2:24">
      <c r="B14" s="15"/>
      <c r="C14" s="2" t="s">
        <v>84</v>
      </c>
      <c r="D14" s="13">
        <v>3084</v>
      </c>
      <c r="E14" s="15"/>
      <c r="F14" s="15"/>
      <c r="H14" s="15"/>
      <c r="I14" s="2" t="s">
        <v>84</v>
      </c>
      <c r="J14" s="13">
        <v>3084</v>
      </c>
      <c r="K14" s="15"/>
      <c r="L14" s="15"/>
      <c r="N14" s="15"/>
      <c r="O14" s="2" t="s">
        <v>84</v>
      </c>
      <c r="P14" s="13">
        <v>3084</v>
      </c>
      <c r="Q14" s="15"/>
      <c r="R14" s="15"/>
      <c r="T14" s="17">
        <v>6</v>
      </c>
      <c r="U14" s="2" t="s">
        <v>82</v>
      </c>
      <c r="V14" s="13">
        <v>17056</v>
      </c>
      <c r="W14" s="19">
        <f t="shared" ref="W14" si="3">SUM(V14:V15)</f>
        <v>20140</v>
      </c>
      <c r="X14" s="20"/>
    </row>
    <row r="15" spans="2:24">
      <c r="B15" s="15">
        <v>5</v>
      </c>
      <c r="C15" s="2" t="s">
        <v>80</v>
      </c>
      <c r="D15" s="13" t="s">
        <v>81</v>
      </c>
      <c r="E15" s="26">
        <f>SUM(D15:D17)</f>
        <v>16409</v>
      </c>
      <c r="F15" s="15"/>
      <c r="H15" s="15">
        <v>5</v>
      </c>
      <c r="I15" s="2" t="s">
        <v>80</v>
      </c>
      <c r="J15" s="13" t="s">
        <v>81</v>
      </c>
      <c r="K15" s="26">
        <f>SUM(J15:J17)</f>
        <v>10967.2</v>
      </c>
      <c r="L15" s="15"/>
      <c r="N15" s="15">
        <v>5</v>
      </c>
      <c r="O15" s="2" t="s">
        <v>80</v>
      </c>
      <c r="P15" s="13" t="s">
        <v>81</v>
      </c>
      <c r="Q15" s="26">
        <f>SUM(P15:P17)</f>
        <v>16409</v>
      </c>
      <c r="R15" s="15"/>
      <c r="T15" s="18"/>
      <c r="U15" s="2" t="s">
        <v>84</v>
      </c>
      <c r="V15" s="13">
        <v>3084</v>
      </c>
      <c r="W15" s="21"/>
      <c r="X15" s="22"/>
    </row>
    <row r="16" spans="2:24">
      <c r="B16" s="15"/>
      <c r="C16" s="2" t="s">
        <v>82</v>
      </c>
      <c r="D16" s="13">
        <v>13325</v>
      </c>
      <c r="E16" s="15"/>
      <c r="F16" s="15"/>
      <c r="H16" s="15"/>
      <c r="I16" s="2" t="s">
        <v>133</v>
      </c>
      <c r="J16" s="13">
        <v>7883.2</v>
      </c>
      <c r="K16" s="15"/>
      <c r="L16" s="15"/>
      <c r="N16" s="15"/>
      <c r="O16" s="2" t="s">
        <v>82</v>
      </c>
      <c r="P16" s="13">
        <v>13325</v>
      </c>
      <c r="Q16" s="15"/>
      <c r="R16" s="15"/>
      <c r="T16" s="17">
        <v>7</v>
      </c>
      <c r="U16" s="2" t="s">
        <v>82</v>
      </c>
      <c r="V16" s="13">
        <v>13325</v>
      </c>
      <c r="W16" s="19">
        <f t="shared" ref="W16" si="4">SUM(V16:V17)</f>
        <v>16409</v>
      </c>
      <c r="X16" s="20"/>
    </row>
    <row r="17" spans="2:24">
      <c r="B17" s="15"/>
      <c r="C17" s="2" t="s">
        <v>84</v>
      </c>
      <c r="D17" s="13">
        <v>3084</v>
      </c>
      <c r="E17" s="15"/>
      <c r="F17" s="15"/>
      <c r="H17" s="15"/>
      <c r="I17" s="2" t="s">
        <v>84</v>
      </c>
      <c r="J17" s="13">
        <v>3084</v>
      </c>
      <c r="K17" s="15"/>
      <c r="L17" s="15"/>
      <c r="N17" s="15"/>
      <c r="O17" s="2" t="s">
        <v>84</v>
      </c>
      <c r="P17" s="13">
        <v>3084</v>
      </c>
      <c r="Q17" s="15"/>
      <c r="R17" s="15"/>
      <c r="T17" s="18"/>
      <c r="U17" s="2" t="s">
        <v>84</v>
      </c>
      <c r="V17" s="13">
        <v>3084</v>
      </c>
      <c r="W17" s="21"/>
      <c r="X17" s="22"/>
    </row>
    <row r="18" spans="2:24">
      <c r="B18" s="15">
        <v>6</v>
      </c>
      <c r="C18" s="2" t="s">
        <v>80</v>
      </c>
      <c r="D18" s="13" t="s">
        <v>81</v>
      </c>
      <c r="E18" s="26">
        <f>SUM(D18:D20)</f>
        <v>20140</v>
      </c>
      <c r="F18" s="15"/>
      <c r="H18" s="15">
        <v>6</v>
      </c>
      <c r="I18" s="2" t="s">
        <v>80</v>
      </c>
      <c r="J18" s="13" t="s">
        <v>81</v>
      </c>
      <c r="K18" s="26">
        <f>SUM(J18:J20)</f>
        <v>12303.6</v>
      </c>
      <c r="L18" s="15"/>
      <c r="N18" s="15">
        <v>6</v>
      </c>
      <c r="O18" s="2" t="s">
        <v>80</v>
      </c>
      <c r="P18" s="13" t="s">
        <v>81</v>
      </c>
      <c r="Q18" s="26">
        <f>SUM(P18:P20)</f>
        <v>20140</v>
      </c>
      <c r="R18" s="15"/>
      <c r="T18" s="17">
        <v>8</v>
      </c>
      <c r="U18" s="2" t="s">
        <v>82</v>
      </c>
      <c r="V18" s="13">
        <v>14505.4</v>
      </c>
      <c r="W18" s="19">
        <f t="shared" ref="W18" si="5">SUM(V18:V19)</f>
        <v>17589.400000000001</v>
      </c>
      <c r="X18" s="20"/>
    </row>
    <row r="19" spans="2:24">
      <c r="B19" s="15"/>
      <c r="C19" s="2" t="s">
        <v>82</v>
      </c>
      <c r="D19" s="13">
        <v>17056</v>
      </c>
      <c r="E19" s="15"/>
      <c r="F19" s="15"/>
      <c r="H19" s="15"/>
      <c r="I19" s="2" t="s">
        <v>133</v>
      </c>
      <c r="J19" s="13">
        <v>9219.6</v>
      </c>
      <c r="K19" s="15"/>
      <c r="L19" s="15"/>
      <c r="N19" s="15"/>
      <c r="O19" s="2" t="s">
        <v>82</v>
      </c>
      <c r="P19" s="13">
        <v>17056</v>
      </c>
      <c r="Q19" s="15"/>
      <c r="R19" s="15"/>
      <c r="T19" s="18"/>
      <c r="U19" s="2" t="s">
        <v>84</v>
      </c>
      <c r="V19" s="13">
        <v>3084</v>
      </c>
      <c r="W19" s="21"/>
      <c r="X19" s="22"/>
    </row>
    <row r="20" spans="2:24">
      <c r="B20" s="15"/>
      <c r="C20" s="2" t="s">
        <v>84</v>
      </c>
      <c r="D20" s="13">
        <v>3084</v>
      </c>
      <c r="E20" s="15"/>
      <c r="F20" s="15"/>
      <c r="H20" s="15"/>
      <c r="I20" s="2" t="s">
        <v>84</v>
      </c>
      <c r="J20" s="13">
        <v>3084</v>
      </c>
      <c r="K20" s="15"/>
      <c r="L20" s="15"/>
      <c r="N20" s="15"/>
      <c r="O20" s="2" t="s">
        <v>84</v>
      </c>
      <c r="P20" s="13">
        <v>3084</v>
      </c>
      <c r="Q20" s="15"/>
      <c r="R20" s="15"/>
      <c r="T20" s="17">
        <v>9</v>
      </c>
      <c r="U20" s="2" t="s">
        <v>82</v>
      </c>
      <c r="V20" s="13">
        <v>7883.2</v>
      </c>
      <c r="W20" s="19">
        <f t="shared" ref="W20" si="6">SUM(V20:V21)</f>
        <v>10195.869999999999</v>
      </c>
      <c r="X20" s="20"/>
    </row>
    <row r="21" spans="2:24">
      <c r="B21" s="15">
        <v>7</v>
      </c>
      <c r="C21" s="2" t="s">
        <v>80</v>
      </c>
      <c r="D21" s="13" t="s">
        <v>81</v>
      </c>
      <c r="E21" s="26">
        <f>SUM(D21:D23)</f>
        <v>16409</v>
      </c>
      <c r="F21" s="15"/>
      <c r="H21" s="15">
        <v>7</v>
      </c>
      <c r="I21" s="2" t="s">
        <v>80</v>
      </c>
      <c r="J21" s="13" t="s">
        <v>81</v>
      </c>
      <c r="K21" s="26">
        <f>SUM(J21:J23)</f>
        <v>19451</v>
      </c>
      <c r="L21" s="15"/>
      <c r="N21" s="15">
        <v>7</v>
      </c>
      <c r="O21" s="2" t="s">
        <v>80</v>
      </c>
      <c r="P21" s="13" t="s">
        <v>81</v>
      </c>
      <c r="Q21" s="26">
        <f>SUM(P21:P23)</f>
        <v>16409</v>
      </c>
      <c r="R21" s="15"/>
      <c r="T21" s="18"/>
      <c r="U21" s="2" t="s">
        <v>84</v>
      </c>
      <c r="V21" s="13">
        <v>2312.67</v>
      </c>
      <c r="W21" s="21"/>
      <c r="X21" s="22"/>
    </row>
    <row r="22" spans="2:24">
      <c r="B22" s="15"/>
      <c r="C22" s="2" t="s">
        <v>82</v>
      </c>
      <c r="D22" s="13">
        <v>13325</v>
      </c>
      <c r="E22" s="15"/>
      <c r="F22" s="15"/>
      <c r="H22" s="15"/>
      <c r="I22" s="2" t="s">
        <v>133</v>
      </c>
      <c r="J22" s="13">
        <v>16367</v>
      </c>
      <c r="K22" s="15"/>
      <c r="L22" s="15"/>
      <c r="N22" s="15"/>
      <c r="O22" s="2" t="s">
        <v>82</v>
      </c>
      <c r="P22" s="13">
        <v>13325</v>
      </c>
      <c r="Q22" s="15"/>
      <c r="R22" s="15"/>
      <c r="T22" s="17">
        <v>10</v>
      </c>
      <c r="U22" s="2" t="s">
        <v>82</v>
      </c>
      <c r="V22" s="13">
        <v>13325</v>
      </c>
      <c r="W22" s="19">
        <f t="shared" ref="W22" si="7">SUM(V22:V23)</f>
        <v>15637.67</v>
      </c>
      <c r="X22" s="20"/>
    </row>
    <row r="23" spans="2:24">
      <c r="B23" s="15"/>
      <c r="C23" s="2" t="s">
        <v>84</v>
      </c>
      <c r="D23" s="13">
        <v>3084</v>
      </c>
      <c r="E23" s="15"/>
      <c r="F23" s="15"/>
      <c r="H23" s="15"/>
      <c r="I23" s="2" t="s">
        <v>84</v>
      </c>
      <c r="J23" s="13">
        <v>3084</v>
      </c>
      <c r="K23" s="15"/>
      <c r="L23" s="15"/>
      <c r="N23" s="15"/>
      <c r="O23" s="2" t="s">
        <v>84</v>
      </c>
      <c r="P23" s="13">
        <v>3084</v>
      </c>
      <c r="Q23" s="15"/>
      <c r="R23" s="15"/>
      <c r="T23" s="18"/>
      <c r="U23" s="2" t="s">
        <v>84</v>
      </c>
      <c r="V23" s="13">
        <v>2312.67</v>
      </c>
      <c r="W23" s="21"/>
      <c r="X23" s="22"/>
    </row>
    <row r="24" spans="2:24">
      <c r="B24" s="15">
        <v>8</v>
      </c>
      <c r="C24" s="2" t="s">
        <v>80</v>
      </c>
      <c r="D24" s="13" t="s">
        <v>81</v>
      </c>
      <c r="E24" s="26">
        <f>SUM(D24:D26)</f>
        <v>17589.400000000001</v>
      </c>
      <c r="F24" s="15"/>
      <c r="H24" s="15">
        <v>8</v>
      </c>
      <c r="I24" s="2" t="s">
        <v>80</v>
      </c>
      <c r="J24" s="13" t="s">
        <v>81</v>
      </c>
      <c r="K24" s="26">
        <f>SUM(J24:J26)</f>
        <v>16409</v>
      </c>
      <c r="L24" s="15"/>
      <c r="N24" s="15">
        <v>8</v>
      </c>
      <c r="O24" s="2" t="s">
        <v>80</v>
      </c>
      <c r="P24" s="13" t="s">
        <v>81</v>
      </c>
      <c r="Q24" s="26">
        <f>SUM(P24:P26)</f>
        <v>17589.400000000001</v>
      </c>
      <c r="R24" s="15"/>
      <c r="T24" s="17">
        <v>11</v>
      </c>
      <c r="U24" s="2" t="s">
        <v>82</v>
      </c>
      <c r="V24" s="13">
        <v>9219.6</v>
      </c>
      <c r="W24" s="19">
        <f t="shared" ref="W24" si="8">SUM(V24:V25)</f>
        <v>11532.27</v>
      </c>
      <c r="X24" s="20"/>
    </row>
    <row r="25" spans="2:24">
      <c r="B25" s="15"/>
      <c r="C25" s="2" t="s">
        <v>82</v>
      </c>
      <c r="D25" s="13">
        <v>14505.4</v>
      </c>
      <c r="E25" s="15"/>
      <c r="F25" s="15"/>
      <c r="H25" s="15"/>
      <c r="I25" s="2" t="s">
        <v>133</v>
      </c>
      <c r="J25" s="13">
        <v>13325</v>
      </c>
      <c r="K25" s="15"/>
      <c r="L25" s="15"/>
      <c r="N25" s="15"/>
      <c r="O25" s="2" t="s">
        <v>82</v>
      </c>
      <c r="P25" s="13">
        <v>14505.4</v>
      </c>
      <c r="Q25" s="15"/>
      <c r="R25" s="15"/>
      <c r="T25" s="18"/>
      <c r="U25" s="2" t="s">
        <v>84</v>
      </c>
      <c r="V25" s="13">
        <v>2312.67</v>
      </c>
      <c r="W25" s="21"/>
      <c r="X25" s="22"/>
    </row>
    <row r="26" spans="2:24">
      <c r="B26" s="15"/>
      <c r="C26" s="2" t="s">
        <v>84</v>
      </c>
      <c r="D26" s="13">
        <v>3084</v>
      </c>
      <c r="E26" s="15"/>
      <c r="F26" s="15"/>
      <c r="H26" s="15"/>
      <c r="I26" s="2" t="s">
        <v>84</v>
      </c>
      <c r="J26" s="13">
        <v>3084</v>
      </c>
      <c r="K26" s="15"/>
      <c r="L26" s="15"/>
      <c r="N26" s="15"/>
      <c r="O26" s="2" t="s">
        <v>84</v>
      </c>
      <c r="P26" s="13">
        <v>3084</v>
      </c>
      <c r="Q26" s="15"/>
      <c r="R26" s="15"/>
      <c r="T26" s="17">
        <v>12</v>
      </c>
      <c r="U26" s="2" t="s">
        <v>82</v>
      </c>
      <c r="V26" s="13">
        <v>13325</v>
      </c>
      <c r="W26" s="19">
        <f t="shared" ref="W26" si="9">SUM(V26:V27)</f>
        <v>15637.67</v>
      </c>
      <c r="X26" s="20"/>
    </row>
    <row r="27" spans="2:24">
      <c r="B27" s="15">
        <v>9</v>
      </c>
      <c r="C27" s="2" t="s">
        <v>80</v>
      </c>
      <c r="D27" s="13" t="s">
        <v>81</v>
      </c>
      <c r="E27" s="26">
        <f>SUM(D27:D29)</f>
        <v>10195.869999999999</v>
      </c>
      <c r="F27" s="15"/>
      <c r="H27" s="15">
        <v>9</v>
      </c>
      <c r="I27" s="2" t="s">
        <v>80</v>
      </c>
      <c r="J27" s="13" t="s">
        <v>81</v>
      </c>
      <c r="K27" s="26">
        <f>SUM(J27:J29)</f>
        <v>16409</v>
      </c>
      <c r="L27" s="15"/>
      <c r="N27" s="15">
        <v>9</v>
      </c>
      <c r="O27" s="2" t="s">
        <v>80</v>
      </c>
      <c r="P27" s="13" t="s">
        <v>81</v>
      </c>
      <c r="Q27" s="26">
        <f>SUM(P27:P29)</f>
        <v>10195.869999999999</v>
      </c>
      <c r="R27" s="15"/>
      <c r="T27" s="18"/>
      <c r="U27" s="2" t="s">
        <v>84</v>
      </c>
      <c r="V27" s="13">
        <v>2312.67</v>
      </c>
      <c r="W27" s="21"/>
      <c r="X27" s="22"/>
    </row>
    <row r="28" spans="2:24">
      <c r="B28" s="15"/>
      <c r="C28" s="2" t="s">
        <v>82</v>
      </c>
      <c r="D28" s="13">
        <v>7883.2</v>
      </c>
      <c r="E28" s="15"/>
      <c r="F28" s="15"/>
      <c r="H28" s="15"/>
      <c r="I28" s="2" t="s">
        <v>133</v>
      </c>
      <c r="J28" s="13">
        <v>13325</v>
      </c>
      <c r="K28" s="15"/>
      <c r="L28" s="15"/>
      <c r="N28" s="15"/>
      <c r="O28" s="2" t="s">
        <v>82</v>
      </c>
      <c r="P28" s="13">
        <v>7883.2</v>
      </c>
      <c r="Q28" s="15"/>
      <c r="R28" s="15"/>
      <c r="T28" s="17">
        <v>13</v>
      </c>
      <c r="U28" s="2" t="s">
        <v>82</v>
      </c>
      <c r="V28" s="13">
        <v>17056</v>
      </c>
      <c r="W28" s="19">
        <f t="shared" ref="W28" si="10">SUM(V28:V29)</f>
        <v>19368.669999999998</v>
      </c>
      <c r="X28" s="20"/>
    </row>
    <row r="29" spans="2:24">
      <c r="B29" s="15"/>
      <c r="C29" s="2" t="s">
        <v>84</v>
      </c>
      <c r="D29" s="13">
        <v>2312.67</v>
      </c>
      <c r="E29" s="15"/>
      <c r="F29" s="15"/>
      <c r="H29" s="15"/>
      <c r="I29" s="2" t="s">
        <v>84</v>
      </c>
      <c r="J29" s="13">
        <v>3084</v>
      </c>
      <c r="K29" s="15"/>
      <c r="L29" s="15"/>
      <c r="N29" s="15"/>
      <c r="O29" s="2" t="s">
        <v>84</v>
      </c>
      <c r="P29" s="13">
        <v>2312.67</v>
      </c>
      <c r="Q29" s="15"/>
      <c r="R29" s="15"/>
      <c r="T29" s="18"/>
      <c r="U29" s="2" t="s">
        <v>84</v>
      </c>
      <c r="V29" s="13">
        <v>2312.67</v>
      </c>
      <c r="W29" s="21"/>
      <c r="X29" s="22"/>
    </row>
    <row r="30" spans="2:24">
      <c r="B30" s="15">
        <v>10</v>
      </c>
      <c r="C30" s="2" t="s">
        <v>80</v>
      </c>
      <c r="D30" s="13" t="s">
        <v>81</v>
      </c>
      <c r="E30" s="26">
        <f>SUM(D30:D32)</f>
        <v>15637.67</v>
      </c>
      <c r="F30" s="15"/>
      <c r="H30" s="15">
        <v>10</v>
      </c>
      <c r="I30" s="2" t="s">
        <v>80</v>
      </c>
      <c r="J30" s="13" t="s">
        <v>81</v>
      </c>
      <c r="K30" s="26">
        <f>SUM(J30:J32)</f>
        <v>19451</v>
      </c>
      <c r="L30" s="15"/>
      <c r="N30" s="15">
        <v>10</v>
      </c>
      <c r="O30" s="2" t="s">
        <v>80</v>
      </c>
      <c r="P30" s="13" t="s">
        <v>81</v>
      </c>
      <c r="Q30" s="26">
        <f>SUM(P30:P32)</f>
        <v>15637.67</v>
      </c>
      <c r="R30" s="15"/>
      <c r="T30" s="17">
        <v>14</v>
      </c>
      <c r="U30" s="2" t="s">
        <v>82</v>
      </c>
      <c r="V30" s="13">
        <v>13325</v>
      </c>
      <c r="W30" s="19">
        <f t="shared" ref="W30" si="11">SUM(V30:V31)</f>
        <v>15637.67</v>
      </c>
      <c r="X30" s="20"/>
    </row>
    <row r="31" spans="2:24">
      <c r="B31" s="15"/>
      <c r="C31" s="2" t="s">
        <v>82</v>
      </c>
      <c r="D31" s="13">
        <v>13325</v>
      </c>
      <c r="E31" s="15"/>
      <c r="F31" s="15"/>
      <c r="H31" s="15"/>
      <c r="I31" s="2" t="s">
        <v>133</v>
      </c>
      <c r="J31" s="13">
        <v>16367</v>
      </c>
      <c r="K31" s="15"/>
      <c r="L31" s="15"/>
      <c r="N31" s="15"/>
      <c r="O31" s="2" t="s">
        <v>82</v>
      </c>
      <c r="P31" s="13">
        <v>13325</v>
      </c>
      <c r="Q31" s="15"/>
      <c r="R31" s="15"/>
      <c r="T31" s="18"/>
      <c r="U31" s="2" t="s">
        <v>84</v>
      </c>
      <c r="V31" s="13">
        <v>2312.67</v>
      </c>
      <c r="W31" s="21"/>
      <c r="X31" s="22"/>
    </row>
    <row r="32" spans="2:24">
      <c r="B32" s="15"/>
      <c r="C32" s="2" t="s">
        <v>84</v>
      </c>
      <c r="D32" s="13">
        <v>2312.67</v>
      </c>
      <c r="E32" s="15"/>
      <c r="F32" s="15"/>
      <c r="H32" s="15"/>
      <c r="I32" s="2" t="s">
        <v>84</v>
      </c>
      <c r="J32" s="13">
        <v>3084</v>
      </c>
      <c r="K32" s="15"/>
      <c r="L32" s="15"/>
      <c r="N32" s="15"/>
      <c r="O32" s="2" t="s">
        <v>84</v>
      </c>
      <c r="P32" s="13">
        <v>2312.67</v>
      </c>
      <c r="Q32" s="15"/>
      <c r="R32" s="15"/>
      <c r="T32" s="17">
        <v>15</v>
      </c>
      <c r="U32" s="2" t="s">
        <v>82</v>
      </c>
      <c r="V32" s="13">
        <v>14505.4</v>
      </c>
      <c r="W32" s="19">
        <f t="shared" ref="W32" si="12">SUM(V32:V33)</f>
        <v>16818.07</v>
      </c>
      <c r="X32" s="20"/>
    </row>
    <row r="33" spans="2:24">
      <c r="B33" s="15">
        <v>11</v>
      </c>
      <c r="C33" s="2" t="s">
        <v>80</v>
      </c>
      <c r="D33" s="13" t="s">
        <v>86</v>
      </c>
      <c r="E33" s="26">
        <f>SUM(D33:D35)</f>
        <v>11532.27</v>
      </c>
      <c r="F33" s="15"/>
      <c r="H33" s="15">
        <v>11</v>
      </c>
      <c r="I33" s="2" t="s">
        <v>80</v>
      </c>
      <c r="J33" s="13" t="s">
        <v>81</v>
      </c>
      <c r="K33" s="26">
        <f>SUM(J33:J35)</f>
        <v>20140</v>
      </c>
      <c r="L33" s="15"/>
      <c r="N33" s="15">
        <v>11</v>
      </c>
      <c r="O33" s="2" t="s">
        <v>80</v>
      </c>
      <c r="P33" s="13" t="s">
        <v>86</v>
      </c>
      <c r="Q33" s="26">
        <f>SUM(P33:P35)</f>
        <v>11532.27</v>
      </c>
      <c r="R33" s="15"/>
      <c r="T33" s="18"/>
      <c r="U33" s="2" t="s">
        <v>84</v>
      </c>
      <c r="V33" s="13">
        <v>2312.67</v>
      </c>
      <c r="W33" s="21"/>
      <c r="X33" s="22"/>
    </row>
    <row r="34" spans="2:24">
      <c r="B34" s="15"/>
      <c r="C34" s="2" t="s">
        <v>82</v>
      </c>
      <c r="D34" s="13">
        <v>9219.6</v>
      </c>
      <c r="E34" s="15"/>
      <c r="F34" s="15"/>
      <c r="H34" s="15"/>
      <c r="I34" s="2" t="s">
        <v>133</v>
      </c>
      <c r="J34" s="13">
        <v>17056</v>
      </c>
      <c r="K34" s="15"/>
      <c r="L34" s="15"/>
      <c r="N34" s="15"/>
      <c r="O34" s="2" t="s">
        <v>82</v>
      </c>
      <c r="P34" s="13">
        <v>9219.6</v>
      </c>
      <c r="Q34" s="15"/>
      <c r="R34" s="15"/>
      <c r="T34" s="2">
        <v>16</v>
      </c>
      <c r="U34" s="2" t="s">
        <v>82</v>
      </c>
      <c r="V34" s="13">
        <v>7883.2</v>
      </c>
      <c r="W34" s="23">
        <f>V34</f>
        <v>7883.2</v>
      </c>
      <c r="X34" s="24"/>
    </row>
    <row r="35" spans="2:24">
      <c r="B35" s="15"/>
      <c r="C35" s="2" t="s">
        <v>84</v>
      </c>
      <c r="D35" s="13">
        <v>2312.67</v>
      </c>
      <c r="E35" s="15"/>
      <c r="F35" s="15"/>
      <c r="H35" s="15"/>
      <c r="I35" s="2" t="s">
        <v>84</v>
      </c>
      <c r="J35" s="13">
        <v>3084</v>
      </c>
      <c r="K35" s="15"/>
      <c r="L35" s="15"/>
      <c r="N35" s="15"/>
      <c r="O35" s="2" t="s">
        <v>84</v>
      </c>
      <c r="P35" s="13">
        <v>2312.67</v>
      </c>
      <c r="Q35" s="15"/>
      <c r="R35" s="15"/>
      <c r="T35" s="2">
        <v>16</v>
      </c>
      <c r="U35" s="2" t="s">
        <v>82</v>
      </c>
      <c r="V35" s="13">
        <v>13325</v>
      </c>
      <c r="W35" s="23">
        <f t="shared" ref="W35:W40" si="13">V35</f>
        <v>13325</v>
      </c>
      <c r="X35" s="24"/>
    </row>
    <row r="36" spans="2:24">
      <c r="B36" s="15">
        <v>12</v>
      </c>
      <c r="C36" s="2" t="s">
        <v>80</v>
      </c>
      <c r="D36" s="13" t="s">
        <v>81</v>
      </c>
      <c r="E36" s="26">
        <f>SUM(D36:D38)</f>
        <v>15637.67</v>
      </c>
      <c r="F36" s="15"/>
      <c r="H36" s="15">
        <v>12</v>
      </c>
      <c r="I36" s="2" t="s">
        <v>80</v>
      </c>
      <c r="J36" s="13" t="s">
        <v>81</v>
      </c>
      <c r="K36" s="26">
        <f>SUM(J36:J38)</f>
        <v>20680.8</v>
      </c>
      <c r="L36" s="15"/>
      <c r="N36" s="15">
        <v>12</v>
      </c>
      <c r="O36" s="2" t="s">
        <v>80</v>
      </c>
      <c r="P36" s="13" t="s">
        <v>81</v>
      </c>
      <c r="Q36" s="26">
        <f>SUM(P36:P38)</f>
        <v>15637.67</v>
      </c>
      <c r="R36" s="15"/>
      <c r="T36" s="2">
        <v>16</v>
      </c>
      <c r="U36" s="2" t="s">
        <v>82</v>
      </c>
      <c r="V36" s="13">
        <v>9219.6</v>
      </c>
      <c r="W36" s="23">
        <f t="shared" si="13"/>
        <v>9219.6</v>
      </c>
      <c r="X36" s="24"/>
    </row>
    <row r="37" spans="2:24">
      <c r="B37" s="15"/>
      <c r="C37" s="2" t="s">
        <v>82</v>
      </c>
      <c r="D37" s="13">
        <v>13325</v>
      </c>
      <c r="E37" s="15"/>
      <c r="F37" s="15"/>
      <c r="H37" s="15"/>
      <c r="I37" s="2" t="s">
        <v>133</v>
      </c>
      <c r="J37" s="13">
        <v>17596.8</v>
      </c>
      <c r="K37" s="15"/>
      <c r="L37" s="15"/>
      <c r="N37" s="15"/>
      <c r="O37" s="2" t="s">
        <v>82</v>
      </c>
      <c r="P37" s="13">
        <v>13325</v>
      </c>
      <c r="Q37" s="15"/>
      <c r="R37" s="15"/>
      <c r="T37" s="2">
        <v>16</v>
      </c>
      <c r="U37" s="2" t="s">
        <v>82</v>
      </c>
      <c r="V37" s="13">
        <v>13325</v>
      </c>
      <c r="W37" s="23">
        <f t="shared" si="13"/>
        <v>13325</v>
      </c>
      <c r="X37" s="24"/>
    </row>
    <row r="38" spans="2:24">
      <c r="B38" s="15"/>
      <c r="C38" s="2" t="s">
        <v>84</v>
      </c>
      <c r="D38" s="13">
        <v>2312.67</v>
      </c>
      <c r="E38" s="15"/>
      <c r="F38" s="15"/>
      <c r="H38" s="15"/>
      <c r="I38" s="2" t="s">
        <v>84</v>
      </c>
      <c r="J38" s="13">
        <v>3084</v>
      </c>
      <c r="K38" s="15"/>
      <c r="L38" s="15"/>
      <c r="N38" s="15"/>
      <c r="O38" s="2" t="s">
        <v>84</v>
      </c>
      <c r="P38" s="13">
        <v>2312.67</v>
      </c>
      <c r="Q38" s="15"/>
      <c r="R38" s="15"/>
      <c r="T38" s="2">
        <v>16</v>
      </c>
      <c r="U38" s="2" t="s">
        <v>82</v>
      </c>
      <c r="V38" s="13">
        <v>17056</v>
      </c>
      <c r="W38" s="23">
        <f t="shared" si="13"/>
        <v>17056</v>
      </c>
      <c r="X38" s="24"/>
    </row>
    <row r="39" spans="2:24">
      <c r="B39" s="15">
        <v>13</v>
      </c>
      <c r="C39" s="2" t="s">
        <v>80</v>
      </c>
      <c r="D39" s="13" t="s">
        <v>81</v>
      </c>
      <c r="E39" s="26">
        <f>SUM(D39:D41)</f>
        <v>19368.669999999998</v>
      </c>
      <c r="F39" s="15"/>
      <c r="H39" s="15">
        <v>13</v>
      </c>
      <c r="I39" s="2" t="s">
        <v>80</v>
      </c>
      <c r="J39" s="13" t="s">
        <v>81</v>
      </c>
      <c r="K39" s="26">
        <f>SUM(J39:J41)</f>
        <v>16409</v>
      </c>
      <c r="L39" s="15"/>
      <c r="N39" s="15">
        <v>13</v>
      </c>
      <c r="O39" s="2" t="s">
        <v>80</v>
      </c>
      <c r="P39" s="13" t="s">
        <v>81</v>
      </c>
      <c r="Q39" s="26">
        <f>SUM(P39:P41)</f>
        <v>19368.669999999998</v>
      </c>
      <c r="R39" s="15"/>
      <c r="T39" s="2">
        <v>16</v>
      </c>
      <c r="U39" s="2" t="s">
        <v>82</v>
      </c>
      <c r="V39" s="13">
        <v>13325</v>
      </c>
      <c r="W39" s="23">
        <f t="shared" si="13"/>
        <v>13325</v>
      </c>
      <c r="X39" s="24"/>
    </row>
    <row r="40" spans="2:24">
      <c r="B40" s="15"/>
      <c r="C40" s="2" t="s">
        <v>82</v>
      </c>
      <c r="D40" s="13">
        <v>17056</v>
      </c>
      <c r="E40" s="15"/>
      <c r="F40" s="15"/>
      <c r="H40" s="15"/>
      <c r="I40" s="2" t="s">
        <v>133</v>
      </c>
      <c r="J40" s="13">
        <v>13325</v>
      </c>
      <c r="K40" s="15"/>
      <c r="L40" s="15"/>
      <c r="N40" s="15"/>
      <c r="O40" s="2" t="s">
        <v>82</v>
      </c>
      <c r="P40" s="13">
        <v>17056</v>
      </c>
      <c r="Q40" s="15"/>
      <c r="R40" s="15"/>
      <c r="T40" s="2">
        <v>16</v>
      </c>
      <c r="U40" s="2" t="s">
        <v>82</v>
      </c>
      <c r="V40" s="13">
        <v>14505.4</v>
      </c>
      <c r="W40" s="23">
        <f t="shared" si="13"/>
        <v>14505.4</v>
      </c>
      <c r="X40" s="24"/>
    </row>
    <row r="41" spans="2:24">
      <c r="B41" s="15"/>
      <c r="C41" s="2" t="s">
        <v>84</v>
      </c>
      <c r="D41" s="13">
        <v>2312.67</v>
      </c>
      <c r="E41" s="15"/>
      <c r="F41" s="15"/>
      <c r="H41" s="15"/>
      <c r="I41" s="2" t="s">
        <v>84</v>
      </c>
      <c r="J41" s="13">
        <v>3084</v>
      </c>
      <c r="K41" s="15"/>
      <c r="L41" s="15"/>
      <c r="N41" s="15"/>
      <c r="O41" s="2" t="s">
        <v>84</v>
      </c>
      <c r="P41" s="13">
        <v>2312.67</v>
      </c>
      <c r="Q41" s="15"/>
      <c r="R41" s="15"/>
    </row>
    <row r="42" spans="2:24">
      <c r="B42" s="15">
        <v>14</v>
      </c>
      <c r="C42" s="2" t="s">
        <v>80</v>
      </c>
      <c r="D42" s="13" t="s">
        <v>81</v>
      </c>
      <c r="E42" s="26">
        <f>SUM(D42:D44)</f>
        <v>15637.67</v>
      </c>
      <c r="F42" s="15"/>
      <c r="H42" s="15">
        <v>14</v>
      </c>
      <c r="I42" s="2" t="s">
        <v>80</v>
      </c>
      <c r="J42" s="13" t="s">
        <v>81</v>
      </c>
      <c r="K42" s="26">
        <f>SUM(J42:J44)</f>
        <v>17989.8</v>
      </c>
      <c r="L42" s="15"/>
      <c r="N42" s="15">
        <v>14</v>
      </c>
      <c r="O42" s="2" t="s">
        <v>80</v>
      </c>
      <c r="P42" s="13" t="s">
        <v>81</v>
      </c>
      <c r="Q42" s="26">
        <f>SUM(P42:P44)</f>
        <v>15637.67</v>
      </c>
      <c r="R42" s="15"/>
    </row>
    <row r="43" spans="2:24">
      <c r="B43" s="15"/>
      <c r="C43" s="2" t="s">
        <v>82</v>
      </c>
      <c r="D43" s="13">
        <v>13325</v>
      </c>
      <c r="E43" s="15"/>
      <c r="F43" s="15"/>
      <c r="H43" s="15"/>
      <c r="I43" s="2" t="s">
        <v>133</v>
      </c>
      <c r="J43" s="13">
        <v>14905.8</v>
      </c>
      <c r="K43" s="15"/>
      <c r="L43" s="15"/>
      <c r="N43" s="15"/>
      <c r="O43" s="2" t="s">
        <v>82</v>
      </c>
      <c r="P43" s="13">
        <v>13325</v>
      </c>
      <c r="Q43" s="15"/>
      <c r="R43" s="15"/>
    </row>
    <row r="44" spans="2:24">
      <c r="B44" s="15"/>
      <c r="C44" s="2" t="s">
        <v>84</v>
      </c>
      <c r="D44" s="13">
        <v>2312.67</v>
      </c>
      <c r="E44" s="15"/>
      <c r="F44" s="15"/>
      <c r="H44" s="15"/>
      <c r="I44" s="2" t="s">
        <v>84</v>
      </c>
      <c r="J44" s="13">
        <v>3084</v>
      </c>
      <c r="K44" s="15"/>
      <c r="L44" s="15"/>
      <c r="N44" s="15"/>
      <c r="O44" s="2" t="s">
        <v>84</v>
      </c>
      <c r="P44" s="13">
        <v>2312.67</v>
      </c>
      <c r="Q44" s="15"/>
      <c r="R44" s="15"/>
    </row>
    <row r="45" spans="2:24">
      <c r="B45" s="15">
        <v>15</v>
      </c>
      <c r="C45" s="2" t="s">
        <v>80</v>
      </c>
      <c r="D45" s="13" t="s">
        <v>81</v>
      </c>
      <c r="E45" s="26">
        <f>SUM(D45:D47)</f>
        <v>16818.07</v>
      </c>
      <c r="F45" s="15"/>
      <c r="H45" s="15">
        <v>15</v>
      </c>
      <c r="I45" s="2" t="s">
        <v>80</v>
      </c>
      <c r="J45" s="13" t="s">
        <v>81</v>
      </c>
      <c r="K45" s="26">
        <f>SUM(J45:J47)</f>
        <v>17589.400000000001</v>
      </c>
      <c r="L45" s="15"/>
      <c r="N45" s="15">
        <v>15</v>
      </c>
      <c r="O45" s="2" t="s">
        <v>80</v>
      </c>
      <c r="P45" s="13" t="s">
        <v>81</v>
      </c>
      <c r="Q45" s="26">
        <f>SUM(P45:P47)</f>
        <v>16818.07</v>
      </c>
      <c r="R45" s="15"/>
    </row>
    <row r="46" spans="2:24">
      <c r="B46" s="15"/>
      <c r="C46" s="2" t="s">
        <v>82</v>
      </c>
      <c r="D46" s="13">
        <v>14505.4</v>
      </c>
      <c r="E46" s="15"/>
      <c r="F46" s="15"/>
      <c r="H46" s="15"/>
      <c r="I46" s="2" t="s">
        <v>133</v>
      </c>
      <c r="J46" s="13">
        <v>14505.4</v>
      </c>
      <c r="K46" s="15"/>
      <c r="L46" s="15"/>
      <c r="N46" s="15"/>
      <c r="O46" s="2" t="s">
        <v>82</v>
      </c>
      <c r="P46" s="13">
        <v>14505.4</v>
      </c>
      <c r="Q46" s="15"/>
      <c r="R46" s="15"/>
    </row>
    <row r="47" spans="2:24">
      <c r="B47" s="15"/>
      <c r="C47" s="2" t="s">
        <v>84</v>
      </c>
      <c r="D47" s="13">
        <v>2312.67</v>
      </c>
      <c r="E47" s="15"/>
      <c r="F47" s="15"/>
      <c r="H47" s="15"/>
      <c r="I47" s="2" t="s">
        <v>84</v>
      </c>
      <c r="J47" s="13">
        <v>3084</v>
      </c>
      <c r="K47" s="15"/>
      <c r="L47" s="15"/>
      <c r="N47" s="15"/>
      <c r="O47" s="2" t="s">
        <v>84</v>
      </c>
      <c r="P47" s="13">
        <v>2312.67</v>
      </c>
      <c r="Q47" s="15"/>
      <c r="R47" s="15"/>
    </row>
    <row r="48" spans="2:24">
      <c r="B48" s="15">
        <v>16</v>
      </c>
      <c r="C48" s="2" t="s">
        <v>80</v>
      </c>
      <c r="D48" s="13" t="s">
        <v>81</v>
      </c>
      <c r="E48" s="26">
        <f>SUM(D48:D49)</f>
        <v>7883.2</v>
      </c>
      <c r="F48" s="15"/>
      <c r="H48" s="15">
        <v>16</v>
      </c>
      <c r="I48" s="2" t="s">
        <v>80</v>
      </c>
      <c r="J48" s="13" t="s">
        <v>81</v>
      </c>
      <c r="K48" s="26">
        <f>SUM(J48:J50)</f>
        <v>17218.47</v>
      </c>
      <c r="L48" s="15"/>
      <c r="N48" s="15">
        <v>16</v>
      </c>
      <c r="O48" s="2" t="s">
        <v>80</v>
      </c>
      <c r="P48" s="13" t="s">
        <v>81</v>
      </c>
      <c r="Q48" s="26">
        <f>SUM(P48:P49)</f>
        <v>7883.2</v>
      </c>
      <c r="R48" s="15"/>
    </row>
    <row r="49" spans="2:18">
      <c r="B49" s="15"/>
      <c r="C49" s="2" t="s">
        <v>82</v>
      </c>
      <c r="D49" s="13">
        <v>7883.2</v>
      </c>
      <c r="E49" s="15"/>
      <c r="F49" s="15"/>
      <c r="H49" s="15"/>
      <c r="I49" s="2" t="s">
        <v>133</v>
      </c>
      <c r="J49" s="13">
        <v>14905.8</v>
      </c>
      <c r="K49" s="15"/>
      <c r="L49" s="15"/>
      <c r="N49" s="15"/>
      <c r="O49" s="2" t="s">
        <v>82</v>
      </c>
      <c r="P49" s="13">
        <v>7883.2</v>
      </c>
      <c r="Q49" s="15"/>
      <c r="R49" s="15"/>
    </row>
    <row r="50" spans="2:18">
      <c r="B50" s="15">
        <v>17</v>
      </c>
      <c r="C50" s="2" t="s">
        <v>80</v>
      </c>
      <c r="D50" s="13" t="s">
        <v>81</v>
      </c>
      <c r="E50" s="26">
        <f t="shared" ref="E50" si="14">SUM(D50:D51)</f>
        <v>13325</v>
      </c>
      <c r="F50" s="15"/>
      <c r="H50" s="15"/>
      <c r="I50" s="2" t="s">
        <v>84</v>
      </c>
      <c r="J50" s="13">
        <v>2312.67</v>
      </c>
      <c r="K50" s="15"/>
      <c r="L50" s="15"/>
      <c r="N50" s="15">
        <v>17</v>
      </c>
      <c r="O50" s="2" t="s">
        <v>80</v>
      </c>
      <c r="P50" s="13" t="s">
        <v>81</v>
      </c>
      <c r="Q50" s="26">
        <f t="shared" ref="Q50" si="15">SUM(P50:P51)</f>
        <v>13325</v>
      </c>
      <c r="R50" s="15"/>
    </row>
    <row r="51" spans="2:18">
      <c r="B51" s="15"/>
      <c r="C51" s="2" t="s">
        <v>82</v>
      </c>
      <c r="D51" s="13">
        <v>13325</v>
      </c>
      <c r="E51" s="15"/>
      <c r="F51" s="15"/>
      <c r="H51" s="15">
        <v>17</v>
      </c>
      <c r="I51" s="2" t="s">
        <v>80</v>
      </c>
      <c r="J51" s="13" t="s">
        <v>81</v>
      </c>
      <c r="K51" s="26">
        <f>SUM(J51:J53)</f>
        <v>10195.869999999999</v>
      </c>
      <c r="L51" s="15"/>
      <c r="N51" s="15"/>
      <c r="O51" s="2" t="s">
        <v>82</v>
      </c>
      <c r="P51" s="13">
        <v>13325</v>
      </c>
      <c r="Q51" s="15"/>
      <c r="R51" s="15"/>
    </row>
    <row r="52" spans="2:18">
      <c r="B52" s="15">
        <v>18</v>
      </c>
      <c r="C52" s="2" t="s">
        <v>80</v>
      </c>
      <c r="D52" s="13" t="s">
        <v>86</v>
      </c>
      <c r="E52" s="26">
        <f t="shared" ref="E52" si="16">SUM(D52:D53)</f>
        <v>9219.6</v>
      </c>
      <c r="F52" s="15"/>
      <c r="H52" s="15"/>
      <c r="I52" s="2" t="s">
        <v>133</v>
      </c>
      <c r="J52" s="13">
        <v>7883.2</v>
      </c>
      <c r="K52" s="15"/>
      <c r="L52" s="15"/>
      <c r="N52" s="15">
        <v>18</v>
      </c>
      <c r="O52" s="2" t="s">
        <v>80</v>
      </c>
      <c r="P52" s="13" t="s">
        <v>86</v>
      </c>
      <c r="Q52" s="26">
        <f t="shared" ref="Q52" si="17">SUM(P52:P53)</f>
        <v>9219.6</v>
      </c>
      <c r="R52" s="15"/>
    </row>
    <row r="53" spans="2:18">
      <c r="B53" s="15"/>
      <c r="C53" s="2" t="s">
        <v>82</v>
      </c>
      <c r="D53" s="13">
        <v>9219.6</v>
      </c>
      <c r="E53" s="15"/>
      <c r="F53" s="15"/>
      <c r="H53" s="15"/>
      <c r="I53" s="2" t="s">
        <v>84</v>
      </c>
      <c r="J53" s="13">
        <v>2312.67</v>
      </c>
      <c r="K53" s="15"/>
      <c r="L53" s="15"/>
      <c r="N53" s="15"/>
      <c r="O53" s="2" t="s">
        <v>82</v>
      </c>
      <c r="P53" s="13">
        <v>9219.6</v>
      </c>
      <c r="Q53" s="15"/>
      <c r="R53" s="15"/>
    </row>
    <row r="54" spans="2:18">
      <c r="B54" s="15">
        <v>19</v>
      </c>
      <c r="C54" s="2" t="s">
        <v>80</v>
      </c>
      <c r="D54" s="13" t="s">
        <v>81</v>
      </c>
      <c r="E54" s="26">
        <f t="shared" ref="E54" si="18">SUM(D54:D55)</f>
        <v>13325</v>
      </c>
      <c r="F54" s="15"/>
      <c r="H54" s="15">
        <v>18</v>
      </c>
      <c r="I54" s="2" t="s">
        <v>80</v>
      </c>
      <c r="J54" s="13" t="s">
        <v>81</v>
      </c>
      <c r="K54" s="26">
        <f>SUM(J54:J56)</f>
        <v>11532.27</v>
      </c>
      <c r="L54" s="15"/>
      <c r="N54" s="15">
        <v>19</v>
      </c>
      <c r="O54" s="2" t="s">
        <v>80</v>
      </c>
      <c r="P54" s="13" t="s">
        <v>81</v>
      </c>
      <c r="Q54" s="26">
        <f t="shared" ref="Q54" si="19">SUM(P54:P55)</f>
        <v>13325</v>
      </c>
      <c r="R54" s="15"/>
    </row>
    <row r="55" spans="2:18">
      <c r="B55" s="15"/>
      <c r="C55" s="2" t="s">
        <v>82</v>
      </c>
      <c r="D55" s="13">
        <v>13325</v>
      </c>
      <c r="E55" s="15"/>
      <c r="F55" s="15"/>
      <c r="H55" s="15"/>
      <c r="I55" s="2" t="s">
        <v>133</v>
      </c>
      <c r="J55" s="13">
        <v>9219.6</v>
      </c>
      <c r="K55" s="15"/>
      <c r="L55" s="15"/>
      <c r="N55" s="15"/>
      <c r="O55" s="2" t="s">
        <v>82</v>
      </c>
      <c r="P55" s="13">
        <v>13325</v>
      </c>
      <c r="Q55" s="15"/>
      <c r="R55" s="15"/>
    </row>
    <row r="56" spans="2:18">
      <c r="B56" s="15">
        <v>20</v>
      </c>
      <c r="C56" s="2" t="s">
        <v>80</v>
      </c>
      <c r="D56" s="13" t="s">
        <v>81</v>
      </c>
      <c r="E56" s="26">
        <f t="shared" ref="E56" si="20">SUM(D56:D57)</f>
        <v>17056</v>
      </c>
      <c r="F56" s="15"/>
      <c r="H56" s="15"/>
      <c r="I56" s="2" t="s">
        <v>84</v>
      </c>
      <c r="J56" s="13">
        <v>2312.67</v>
      </c>
      <c r="K56" s="15"/>
      <c r="L56" s="15"/>
      <c r="N56" s="15">
        <v>20</v>
      </c>
      <c r="O56" s="2" t="s">
        <v>80</v>
      </c>
      <c r="P56" s="13" t="s">
        <v>81</v>
      </c>
      <c r="Q56" s="26">
        <f t="shared" ref="Q56" si="21">SUM(P56:P57)</f>
        <v>17056</v>
      </c>
      <c r="R56" s="15"/>
    </row>
    <row r="57" spans="2:18">
      <c r="B57" s="15"/>
      <c r="C57" s="2" t="s">
        <v>82</v>
      </c>
      <c r="D57" s="13">
        <v>17056</v>
      </c>
      <c r="E57" s="15"/>
      <c r="F57" s="15"/>
      <c r="H57" s="15">
        <v>19</v>
      </c>
      <c r="I57" s="2" t="s">
        <v>80</v>
      </c>
      <c r="J57" s="13" t="s">
        <v>86</v>
      </c>
      <c r="K57" s="26">
        <f>SUM(J57:J59)</f>
        <v>15637.67</v>
      </c>
      <c r="L57" s="15"/>
      <c r="N57" s="15"/>
      <c r="O57" s="2" t="s">
        <v>82</v>
      </c>
      <c r="P57" s="13">
        <v>17056</v>
      </c>
      <c r="Q57" s="15"/>
      <c r="R57" s="15"/>
    </row>
    <row r="58" spans="2:18">
      <c r="B58" s="15">
        <v>21</v>
      </c>
      <c r="C58" s="2" t="s">
        <v>80</v>
      </c>
      <c r="D58" s="13" t="s">
        <v>81</v>
      </c>
      <c r="E58" s="26">
        <f t="shared" ref="E58" si="22">SUM(D58:D59)</f>
        <v>13325</v>
      </c>
      <c r="F58" s="15"/>
      <c r="H58" s="15"/>
      <c r="I58" s="2" t="s">
        <v>133</v>
      </c>
      <c r="J58" s="13">
        <v>13325</v>
      </c>
      <c r="K58" s="15"/>
      <c r="L58" s="15"/>
      <c r="N58" s="15">
        <v>21</v>
      </c>
      <c r="O58" s="2" t="s">
        <v>80</v>
      </c>
      <c r="P58" s="13" t="s">
        <v>81</v>
      </c>
      <c r="Q58" s="26">
        <f t="shared" ref="Q58" si="23">SUM(P58:P59)</f>
        <v>13325</v>
      </c>
      <c r="R58" s="15"/>
    </row>
    <row r="59" spans="2:18">
      <c r="B59" s="15"/>
      <c r="C59" s="2" t="s">
        <v>82</v>
      </c>
      <c r="D59" s="13">
        <v>13325</v>
      </c>
      <c r="E59" s="15"/>
      <c r="F59" s="15"/>
      <c r="H59" s="15"/>
      <c r="I59" s="2" t="s">
        <v>84</v>
      </c>
      <c r="J59" s="13">
        <v>2312.67</v>
      </c>
      <c r="K59" s="15"/>
      <c r="L59" s="15"/>
      <c r="N59" s="15"/>
      <c r="O59" s="2" t="s">
        <v>82</v>
      </c>
      <c r="P59" s="13">
        <v>13325</v>
      </c>
      <c r="Q59" s="15"/>
      <c r="R59" s="15"/>
    </row>
    <row r="60" spans="2:18">
      <c r="B60" s="15">
        <v>22</v>
      </c>
      <c r="C60" s="2" t="s">
        <v>80</v>
      </c>
      <c r="D60" s="13" t="s">
        <v>81</v>
      </c>
      <c r="E60" s="26">
        <f t="shared" ref="E60" si="24">SUM(D60:D61)</f>
        <v>14505.4</v>
      </c>
      <c r="F60" s="15"/>
      <c r="H60" s="15">
        <v>20</v>
      </c>
      <c r="I60" s="2" t="s">
        <v>80</v>
      </c>
      <c r="J60" s="13" t="s">
        <v>81</v>
      </c>
      <c r="K60" s="26">
        <f>SUM(J60:J62)</f>
        <v>10195.67</v>
      </c>
      <c r="L60" s="15"/>
      <c r="N60" s="15">
        <v>22</v>
      </c>
      <c r="O60" s="2" t="s">
        <v>80</v>
      </c>
      <c r="P60" s="13" t="s">
        <v>81</v>
      </c>
      <c r="Q60" s="26">
        <f t="shared" ref="Q60" si="25">SUM(P60:P61)</f>
        <v>14505.4</v>
      </c>
      <c r="R60" s="15"/>
    </row>
    <row r="61" spans="2:18">
      <c r="B61" s="15"/>
      <c r="C61" s="2" t="s">
        <v>82</v>
      </c>
      <c r="D61" s="13">
        <v>14505.4</v>
      </c>
      <c r="E61" s="15"/>
      <c r="F61" s="15"/>
      <c r="H61" s="15"/>
      <c r="I61" s="2" t="s">
        <v>133</v>
      </c>
      <c r="J61" s="13">
        <v>7883</v>
      </c>
      <c r="K61" s="15"/>
      <c r="L61" s="15"/>
      <c r="N61" s="15"/>
      <c r="O61" s="2" t="s">
        <v>82</v>
      </c>
      <c r="P61" s="13">
        <v>14505.4</v>
      </c>
      <c r="Q61" s="15"/>
      <c r="R61" s="15"/>
    </row>
    <row r="62" spans="2:18">
      <c r="H62" s="15"/>
      <c r="I62" s="2" t="s">
        <v>84</v>
      </c>
      <c r="J62" s="13">
        <v>2312.67</v>
      </c>
      <c r="K62" s="15"/>
      <c r="L62" s="15"/>
    </row>
    <row r="63" spans="2:18">
      <c r="H63" s="15">
        <v>21</v>
      </c>
      <c r="I63" s="2" t="s">
        <v>80</v>
      </c>
      <c r="J63" s="13" t="s">
        <v>81</v>
      </c>
      <c r="K63" s="26">
        <f>SUM(J63:J65)</f>
        <v>11441.67</v>
      </c>
      <c r="L63" s="15"/>
    </row>
    <row r="64" spans="2:18">
      <c r="H64" s="15"/>
      <c r="I64" s="2" t="s">
        <v>133</v>
      </c>
      <c r="J64" s="13">
        <v>9129</v>
      </c>
      <c r="K64" s="15"/>
      <c r="L64" s="15"/>
    </row>
    <row r="65" spans="8:12">
      <c r="H65" s="15"/>
      <c r="I65" s="2" t="s">
        <v>84</v>
      </c>
      <c r="J65" s="13">
        <v>2312.67</v>
      </c>
      <c r="K65" s="15"/>
      <c r="L65" s="15"/>
    </row>
    <row r="66" spans="8:12">
      <c r="H66" s="15">
        <v>22</v>
      </c>
      <c r="I66" s="2" t="s">
        <v>80</v>
      </c>
      <c r="J66" s="13" t="s">
        <v>81</v>
      </c>
      <c r="K66" s="26">
        <f>SUM(J66:J68)</f>
        <v>18679.669999999998</v>
      </c>
      <c r="L66" s="15"/>
    </row>
    <row r="67" spans="8:12">
      <c r="H67" s="15"/>
      <c r="I67" s="2" t="s">
        <v>133</v>
      </c>
      <c r="J67" s="13">
        <v>16367</v>
      </c>
      <c r="K67" s="15"/>
      <c r="L67" s="15"/>
    </row>
    <row r="68" spans="8:12">
      <c r="H68" s="15"/>
      <c r="I68" s="2" t="s">
        <v>84</v>
      </c>
      <c r="J68" s="13">
        <v>2312.67</v>
      </c>
      <c r="K68" s="15"/>
      <c r="L68" s="15"/>
    </row>
    <row r="69" spans="8:12">
      <c r="H69" s="15">
        <v>23</v>
      </c>
      <c r="I69" s="2" t="s">
        <v>80</v>
      </c>
      <c r="J69" s="13" t="s">
        <v>81</v>
      </c>
      <c r="K69" s="26">
        <f>SUM(J69:J71)</f>
        <v>15637.67</v>
      </c>
      <c r="L69" s="15"/>
    </row>
    <row r="70" spans="8:12">
      <c r="H70" s="15"/>
      <c r="I70" s="2" t="s">
        <v>133</v>
      </c>
      <c r="J70" s="13">
        <v>13325</v>
      </c>
      <c r="K70" s="15"/>
      <c r="L70" s="15"/>
    </row>
    <row r="71" spans="8:12">
      <c r="H71" s="15"/>
      <c r="I71" s="2" t="s">
        <v>84</v>
      </c>
      <c r="J71" s="13">
        <v>2312.67</v>
      </c>
      <c r="K71" s="15"/>
      <c r="L71" s="15"/>
    </row>
    <row r="72" spans="8:12">
      <c r="H72" s="15">
        <v>24</v>
      </c>
      <c r="I72" s="2" t="s">
        <v>80</v>
      </c>
      <c r="J72" s="13" t="s">
        <v>81</v>
      </c>
      <c r="K72" s="26">
        <f>SUM(J72:J74)</f>
        <v>15637.67</v>
      </c>
      <c r="L72" s="15"/>
    </row>
    <row r="73" spans="8:12">
      <c r="H73" s="15"/>
      <c r="I73" s="2" t="s">
        <v>133</v>
      </c>
      <c r="J73" s="13">
        <v>13325</v>
      </c>
      <c r="K73" s="15"/>
      <c r="L73" s="15"/>
    </row>
    <row r="74" spans="8:12">
      <c r="H74" s="15"/>
      <c r="I74" s="2" t="s">
        <v>84</v>
      </c>
      <c r="J74" s="13">
        <v>2312.67</v>
      </c>
      <c r="K74" s="15"/>
      <c r="L74" s="15"/>
    </row>
    <row r="75" spans="8:12">
      <c r="H75" s="15">
        <v>25</v>
      </c>
      <c r="I75" s="2" t="s">
        <v>80</v>
      </c>
      <c r="J75" s="13" t="s">
        <v>81</v>
      </c>
      <c r="K75" s="26">
        <f>SUM(J75:J77)</f>
        <v>18679.669999999998</v>
      </c>
      <c r="L75" s="15"/>
    </row>
    <row r="76" spans="8:12">
      <c r="H76" s="15"/>
      <c r="I76" s="2" t="s">
        <v>133</v>
      </c>
      <c r="J76" s="13">
        <v>16367</v>
      </c>
      <c r="K76" s="15"/>
      <c r="L76" s="15"/>
    </row>
    <row r="77" spans="8:12">
      <c r="H77" s="15"/>
      <c r="I77" s="2" t="s">
        <v>84</v>
      </c>
      <c r="J77" s="13">
        <v>2312.67</v>
      </c>
      <c r="K77" s="15"/>
      <c r="L77" s="15"/>
    </row>
    <row r="78" spans="8:12">
      <c r="H78" s="15">
        <v>26</v>
      </c>
      <c r="I78" s="2" t="s">
        <v>80</v>
      </c>
      <c r="J78" s="13" t="s">
        <v>81</v>
      </c>
      <c r="K78" s="26">
        <f>SUM(J78:J80)</f>
        <v>19368.669999999998</v>
      </c>
      <c r="L78" s="15"/>
    </row>
    <row r="79" spans="8:12">
      <c r="H79" s="15"/>
      <c r="I79" s="2" t="s">
        <v>133</v>
      </c>
      <c r="J79" s="13">
        <v>17056</v>
      </c>
      <c r="K79" s="15"/>
      <c r="L79" s="15"/>
    </row>
    <row r="80" spans="8:12">
      <c r="H80" s="15"/>
      <c r="I80" s="2" t="s">
        <v>84</v>
      </c>
      <c r="J80" s="13">
        <v>2312.67</v>
      </c>
      <c r="K80" s="15"/>
      <c r="L80" s="15"/>
    </row>
    <row r="81" spans="8:12">
      <c r="H81" s="15">
        <v>27</v>
      </c>
      <c r="I81" s="2" t="s">
        <v>80</v>
      </c>
      <c r="J81" s="13" t="s">
        <v>81</v>
      </c>
      <c r="K81" s="26">
        <f>SUM(J81:J83)</f>
        <v>19368.669999999998</v>
      </c>
      <c r="L81" s="15"/>
    </row>
    <row r="82" spans="8:12">
      <c r="H82" s="15"/>
      <c r="I82" s="2" t="s">
        <v>133</v>
      </c>
      <c r="J82" s="13">
        <v>17056</v>
      </c>
      <c r="K82" s="15"/>
      <c r="L82" s="15"/>
    </row>
    <row r="83" spans="8:12">
      <c r="H83" s="15"/>
      <c r="I83" s="2" t="s">
        <v>84</v>
      </c>
      <c r="J83" s="13">
        <v>2312.67</v>
      </c>
      <c r="K83" s="15"/>
      <c r="L83" s="15"/>
    </row>
    <row r="84" spans="8:12">
      <c r="H84" s="15">
        <v>28</v>
      </c>
      <c r="I84" s="2" t="s">
        <v>80</v>
      </c>
      <c r="J84" s="13" t="s">
        <v>81</v>
      </c>
      <c r="K84" s="26">
        <f>SUM(J84:J86)</f>
        <v>15637.67</v>
      </c>
      <c r="L84" s="15"/>
    </row>
    <row r="85" spans="8:12">
      <c r="H85" s="15"/>
      <c r="I85" s="2" t="s">
        <v>133</v>
      </c>
      <c r="J85" s="13">
        <v>13325</v>
      </c>
      <c r="K85" s="15"/>
      <c r="L85" s="15"/>
    </row>
    <row r="86" spans="8:12">
      <c r="H86" s="15"/>
      <c r="I86" s="2" t="s">
        <v>84</v>
      </c>
      <c r="J86" s="13">
        <v>2312.67</v>
      </c>
      <c r="K86" s="15"/>
      <c r="L86" s="15"/>
    </row>
    <row r="87" spans="8:12">
      <c r="H87" s="15">
        <v>29</v>
      </c>
      <c r="I87" s="2" t="s">
        <v>80</v>
      </c>
      <c r="J87" s="13" t="s">
        <v>81</v>
      </c>
      <c r="K87" s="26">
        <f>SUM(J87:J89)</f>
        <v>17218.47</v>
      </c>
      <c r="L87" s="15"/>
    </row>
    <row r="88" spans="8:12">
      <c r="H88" s="15"/>
      <c r="I88" s="2" t="s">
        <v>133</v>
      </c>
      <c r="J88" s="13">
        <v>14905.8</v>
      </c>
      <c r="K88" s="15"/>
      <c r="L88" s="15"/>
    </row>
    <row r="89" spans="8:12">
      <c r="H89" s="15"/>
      <c r="I89" s="2" t="s">
        <v>84</v>
      </c>
      <c r="J89" s="13">
        <v>2312.67</v>
      </c>
      <c r="K89" s="15"/>
      <c r="L89" s="15"/>
    </row>
    <row r="90" spans="8:12">
      <c r="H90" s="15">
        <v>30</v>
      </c>
      <c r="I90" s="2" t="s">
        <v>80</v>
      </c>
      <c r="J90" s="13" t="s">
        <v>81</v>
      </c>
      <c r="K90" s="26">
        <f>SUM(J90:J92)</f>
        <v>16818.07</v>
      </c>
      <c r="L90" s="15"/>
    </row>
    <row r="91" spans="8:12">
      <c r="H91" s="15"/>
      <c r="I91" s="2" t="s">
        <v>133</v>
      </c>
      <c r="J91" s="13">
        <v>14505.4</v>
      </c>
      <c r="K91" s="15"/>
      <c r="L91" s="15"/>
    </row>
    <row r="92" spans="8:12">
      <c r="H92" s="15"/>
      <c r="I92" s="2" t="s">
        <v>84</v>
      </c>
      <c r="J92" s="13">
        <v>2312.67</v>
      </c>
      <c r="K92" s="15"/>
      <c r="L92" s="15"/>
    </row>
    <row r="93" spans="8:12">
      <c r="H93" s="15">
        <v>31</v>
      </c>
      <c r="I93" s="2" t="s">
        <v>80</v>
      </c>
      <c r="J93" s="13" t="s">
        <v>81</v>
      </c>
      <c r="K93" s="26">
        <f>SUM(J93:J95)</f>
        <v>17218.47</v>
      </c>
      <c r="L93" s="15"/>
    </row>
    <row r="94" spans="8:12">
      <c r="H94" s="15"/>
      <c r="I94" s="2" t="s">
        <v>133</v>
      </c>
      <c r="J94" s="13">
        <v>14905.8</v>
      </c>
      <c r="K94" s="15"/>
      <c r="L94" s="15"/>
    </row>
    <row r="95" spans="8:12">
      <c r="H95" s="15"/>
      <c r="I95" s="2" t="s">
        <v>84</v>
      </c>
      <c r="J95" s="13">
        <v>2312.67</v>
      </c>
      <c r="K95" s="15"/>
      <c r="L95" s="15"/>
    </row>
    <row r="96" spans="8:12">
      <c r="H96" s="15">
        <v>32</v>
      </c>
      <c r="I96" s="2" t="s">
        <v>80</v>
      </c>
      <c r="J96" s="13" t="s">
        <v>81</v>
      </c>
      <c r="K96" s="26">
        <f>SUM(J96:J97)</f>
        <v>7883.2</v>
      </c>
      <c r="L96" s="15"/>
    </row>
    <row r="97" spans="8:12">
      <c r="H97" s="15"/>
      <c r="I97" s="2" t="s">
        <v>133</v>
      </c>
      <c r="J97" s="13">
        <v>7883.2</v>
      </c>
      <c r="K97" s="15"/>
      <c r="L97" s="15"/>
    </row>
    <row r="98" spans="8:12">
      <c r="H98" s="15">
        <v>33</v>
      </c>
      <c r="I98" s="2" t="s">
        <v>80</v>
      </c>
      <c r="J98" s="13" t="s">
        <v>81</v>
      </c>
      <c r="K98" s="26">
        <f t="shared" ref="K98" si="26">SUM(J98:J99)</f>
        <v>9219.6</v>
      </c>
      <c r="L98" s="15"/>
    </row>
    <row r="99" spans="8:12">
      <c r="H99" s="15"/>
      <c r="I99" s="2" t="s">
        <v>133</v>
      </c>
      <c r="J99" s="13">
        <v>9219.6</v>
      </c>
      <c r="K99" s="15"/>
      <c r="L99" s="15"/>
    </row>
    <row r="100" spans="8:12">
      <c r="H100" s="15">
        <v>34</v>
      </c>
      <c r="I100" s="2" t="s">
        <v>80</v>
      </c>
      <c r="J100" s="13" t="s">
        <v>86</v>
      </c>
      <c r="K100" s="26">
        <f t="shared" ref="K100" si="27">SUM(J100:J101)</f>
        <v>13325</v>
      </c>
      <c r="L100" s="15"/>
    </row>
    <row r="101" spans="8:12">
      <c r="H101" s="15"/>
      <c r="I101" s="2" t="s">
        <v>133</v>
      </c>
      <c r="J101" s="13">
        <v>13325</v>
      </c>
      <c r="K101" s="15"/>
      <c r="L101" s="15"/>
    </row>
    <row r="102" spans="8:12">
      <c r="H102" s="15">
        <v>35</v>
      </c>
      <c r="I102" s="2" t="s">
        <v>80</v>
      </c>
      <c r="J102" s="13" t="s">
        <v>81</v>
      </c>
      <c r="K102" s="26">
        <f t="shared" ref="K102" si="28">SUM(J102:J103)</f>
        <v>7883.2</v>
      </c>
      <c r="L102" s="15"/>
    </row>
    <row r="103" spans="8:12">
      <c r="H103" s="15"/>
      <c r="I103" s="2" t="s">
        <v>82</v>
      </c>
      <c r="J103" s="13">
        <v>7883.2</v>
      </c>
      <c r="K103" s="15"/>
      <c r="L103" s="15"/>
    </row>
    <row r="104" spans="8:12">
      <c r="H104" s="15">
        <v>36</v>
      </c>
      <c r="I104" s="2" t="s">
        <v>133</v>
      </c>
      <c r="J104" s="13" t="s">
        <v>81</v>
      </c>
      <c r="K104" s="26">
        <f t="shared" ref="K104" si="29">SUM(J104:J105)</f>
        <v>9219.6</v>
      </c>
      <c r="L104" s="15"/>
    </row>
    <row r="105" spans="8:12">
      <c r="H105" s="15"/>
      <c r="I105" s="2" t="s">
        <v>82</v>
      </c>
      <c r="J105" s="13">
        <v>9219.6</v>
      </c>
      <c r="K105" s="15"/>
      <c r="L105" s="15"/>
    </row>
    <row r="106" spans="8:12">
      <c r="H106" s="15">
        <v>37</v>
      </c>
      <c r="I106" s="2" t="s">
        <v>133</v>
      </c>
      <c r="J106" s="13" t="s">
        <v>81</v>
      </c>
      <c r="K106" s="26">
        <f t="shared" ref="K106" si="30">SUM(J106:J107)</f>
        <v>16367</v>
      </c>
      <c r="L106" s="15"/>
    </row>
    <row r="107" spans="8:12">
      <c r="H107" s="15"/>
      <c r="I107" s="2" t="s">
        <v>82</v>
      </c>
      <c r="J107" s="13">
        <v>16367</v>
      </c>
      <c r="K107" s="15"/>
      <c r="L107" s="15"/>
    </row>
    <row r="108" spans="8:12">
      <c r="H108" s="15">
        <v>38</v>
      </c>
      <c r="I108" s="2" t="s">
        <v>133</v>
      </c>
      <c r="J108" s="13" t="s">
        <v>81</v>
      </c>
      <c r="K108" s="26">
        <f t="shared" ref="K108" si="31">SUM(J108:J109)</f>
        <v>13325</v>
      </c>
      <c r="L108" s="15"/>
    </row>
    <row r="109" spans="8:12">
      <c r="H109" s="15"/>
      <c r="I109" s="2" t="s">
        <v>82</v>
      </c>
      <c r="J109" s="13">
        <v>13325</v>
      </c>
      <c r="K109" s="15"/>
      <c r="L109" s="15"/>
    </row>
    <row r="110" spans="8:12">
      <c r="H110" s="15">
        <v>39</v>
      </c>
      <c r="I110" s="2" t="s">
        <v>80</v>
      </c>
      <c r="J110" s="13" t="s">
        <v>81</v>
      </c>
      <c r="K110" s="26">
        <f>SUM(J110:J111)</f>
        <v>13325</v>
      </c>
      <c r="L110" s="15"/>
    </row>
    <row r="111" spans="8:12">
      <c r="H111" s="15"/>
      <c r="I111" s="2" t="s">
        <v>133</v>
      </c>
      <c r="J111" s="13">
        <v>13325</v>
      </c>
      <c r="K111" s="15"/>
      <c r="L111" s="15"/>
    </row>
    <row r="112" spans="8:12">
      <c r="H112" s="15">
        <v>40</v>
      </c>
      <c r="I112" s="2" t="s">
        <v>80</v>
      </c>
      <c r="J112" s="13" t="s">
        <v>81</v>
      </c>
      <c r="K112" s="26">
        <f t="shared" ref="K112" si="32">SUM(J112:J113)</f>
        <v>16367</v>
      </c>
      <c r="L112" s="15"/>
    </row>
    <row r="113" spans="8:12">
      <c r="H113" s="15"/>
      <c r="I113" s="2" t="s">
        <v>133</v>
      </c>
      <c r="J113" s="13">
        <v>16367</v>
      </c>
      <c r="K113" s="15"/>
      <c r="L113" s="15"/>
    </row>
    <row r="114" spans="8:12">
      <c r="H114" s="15">
        <v>41</v>
      </c>
      <c r="I114" s="2" t="s">
        <v>80</v>
      </c>
      <c r="J114" s="13" t="s">
        <v>86</v>
      </c>
      <c r="K114" s="26">
        <f t="shared" ref="K114" si="33">SUM(J114:J115)</f>
        <v>17596.8</v>
      </c>
      <c r="L114" s="15"/>
    </row>
    <row r="115" spans="8:12">
      <c r="H115" s="15"/>
      <c r="I115" s="2" t="s">
        <v>133</v>
      </c>
      <c r="J115" s="13">
        <v>17596.8</v>
      </c>
      <c r="K115" s="15"/>
      <c r="L115" s="15"/>
    </row>
    <row r="116" spans="8:12">
      <c r="H116" s="15">
        <v>42</v>
      </c>
      <c r="I116" s="2" t="s">
        <v>80</v>
      </c>
      <c r="J116" s="13" t="s">
        <v>81</v>
      </c>
      <c r="K116" s="26">
        <f t="shared" ref="K116" si="34">SUM(J116:J117)</f>
        <v>17596.8</v>
      </c>
      <c r="L116" s="15"/>
    </row>
    <row r="117" spans="8:12">
      <c r="H117" s="15"/>
      <c r="I117" s="2" t="s">
        <v>82</v>
      </c>
      <c r="J117" s="13">
        <v>17596.8</v>
      </c>
      <c r="K117" s="15"/>
      <c r="L117" s="15"/>
    </row>
    <row r="118" spans="8:12">
      <c r="H118" s="15">
        <v>43</v>
      </c>
      <c r="I118" s="2" t="s">
        <v>133</v>
      </c>
      <c r="J118" s="13" t="s">
        <v>81</v>
      </c>
      <c r="K118" s="26">
        <f t="shared" ref="K118:K120" si="35">SUM(J118:J119)</f>
        <v>13325</v>
      </c>
      <c r="L118" s="15"/>
    </row>
    <row r="119" spans="8:12">
      <c r="H119" s="15"/>
      <c r="I119" s="2" t="s">
        <v>82</v>
      </c>
      <c r="J119" s="13">
        <v>13325</v>
      </c>
      <c r="K119" s="15"/>
      <c r="L119" s="15"/>
    </row>
    <row r="120" spans="8:12">
      <c r="H120" s="15">
        <v>43</v>
      </c>
      <c r="I120" s="2" t="s">
        <v>133</v>
      </c>
      <c r="J120" s="13" t="s">
        <v>81</v>
      </c>
      <c r="K120" s="26">
        <f t="shared" si="35"/>
        <v>14905.8</v>
      </c>
      <c r="L120" s="15"/>
    </row>
    <row r="121" spans="8:12">
      <c r="H121" s="15"/>
      <c r="I121" s="2" t="s">
        <v>82</v>
      </c>
      <c r="J121" s="13">
        <v>14905.8</v>
      </c>
      <c r="K121" s="15"/>
      <c r="L121" s="15"/>
    </row>
    <row r="122" spans="8:12">
      <c r="H122" s="15">
        <v>44</v>
      </c>
      <c r="I122" s="2" t="s">
        <v>133</v>
      </c>
      <c r="J122" s="13" t="s">
        <v>81</v>
      </c>
      <c r="K122" s="26">
        <f t="shared" ref="K122" si="36">SUM(J122:J123)</f>
        <v>14505.4</v>
      </c>
      <c r="L122" s="15"/>
    </row>
    <row r="123" spans="8:12">
      <c r="H123" s="15"/>
      <c r="I123" s="2" t="s">
        <v>82</v>
      </c>
      <c r="J123" s="13">
        <v>14505.4</v>
      </c>
      <c r="K123" s="15"/>
      <c r="L123" s="15"/>
    </row>
    <row r="124" spans="8:12">
      <c r="H124" s="15">
        <v>45</v>
      </c>
      <c r="I124" s="2" t="s">
        <v>133</v>
      </c>
      <c r="J124" s="13" t="s">
        <v>81</v>
      </c>
      <c r="K124" s="26">
        <f t="shared" ref="K124" si="37">SUM(J124:J125)</f>
        <v>14905.8</v>
      </c>
      <c r="L124" s="15"/>
    </row>
    <row r="125" spans="8:12">
      <c r="H125" s="15"/>
      <c r="I125" s="2" t="s">
        <v>82</v>
      </c>
      <c r="J125" s="13">
        <v>14905.8</v>
      </c>
      <c r="K125" s="15"/>
      <c r="L125" s="15"/>
    </row>
  </sheetData>
  <mergeCells count="221">
    <mergeCell ref="H2:L2"/>
    <mergeCell ref="K4:L4"/>
    <mergeCell ref="K5:L5"/>
    <mergeCell ref="E9:F11"/>
    <mergeCell ref="B9:B11"/>
    <mergeCell ref="E12:F14"/>
    <mergeCell ref="B12:B14"/>
    <mergeCell ref="E15:F17"/>
    <mergeCell ref="B15:B17"/>
    <mergeCell ref="B6:B8"/>
    <mergeCell ref="E4:F4"/>
    <mergeCell ref="B2:F2"/>
    <mergeCell ref="E5:F5"/>
    <mergeCell ref="E6:F8"/>
    <mergeCell ref="E27:F29"/>
    <mergeCell ref="B27:B29"/>
    <mergeCell ref="E30:F32"/>
    <mergeCell ref="B30:B32"/>
    <mergeCell ref="B33:B35"/>
    <mergeCell ref="E33:F35"/>
    <mergeCell ref="E18:F20"/>
    <mergeCell ref="B18:B20"/>
    <mergeCell ref="E21:F23"/>
    <mergeCell ref="B21:B23"/>
    <mergeCell ref="E24:F26"/>
    <mergeCell ref="B24:B26"/>
    <mergeCell ref="E45:F47"/>
    <mergeCell ref="B45:B47"/>
    <mergeCell ref="E48:F49"/>
    <mergeCell ref="B48:B49"/>
    <mergeCell ref="B50:B51"/>
    <mergeCell ref="B52:B53"/>
    <mergeCell ref="E36:F38"/>
    <mergeCell ref="B36:B38"/>
    <mergeCell ref="E39:F41"/>
    <mergeCell ref="B39:B41"/>
    <mergeCell ref="E42:F44"/>
    <mergeCell ref="B42:B44"/>
    <mergeCell ref="B54:B55"/>
    <mergeCell ref="B56:B57"/>
    <mergeCell ref="B58:B59"/>
    <mergeCell ref="B60:B61"/>
    <mergeCell ref="E50:F51"/>
    <mergeCell ref="E52:F53"/>
    <mergeCell ref="E54:F55"/>
    <mergeCell ref="E56:F57"/>
    <mergeCell ref="E58:F59"/>
    <mergeCell ref="E60:F61"/>
    <mergeCell ref="H15:H17"/>
    <mergeCell ref="K15:L17"/>
    <mergeCell ref="H18:H20"/>
    <mergeCell ref="K18:L20"/>
    <mergeCell ref="H21:H23"/>
    <mergeCell ref="K21:L23"/>
    <mergeCell ref="H6:H8"/>
    <mergeCell ref="K6:L8"/>
    <mergeCell ref="H9:H11"/>
    <mergeCell ref="K9:L11"/>
    <mergeCell ref="H12:H14"/>
    <mergeCell ref="K12:L14"/>
    <mergeCell ref="H33:H35"/>
    <mergeCell ref="K33:L35"/>
    <mergeCell ref="H36:H38"/>
    <mergeCell ref="K36:L38"/>
    <mergeCell ref="H39:H41"/>
    <mergeCell ref="K39:L41"/>
    <mergeCell ref="H24:H26"/>
    <mergeCell ref="K24:L26"/>
    <mergeCell ref="H27:H29"/>
    <mergeCell ref="K27:L29"/>
    <mergeCell ref="H30:H32"/>
    <mergeCell ref="K30:L32"/>
    <mergeCell ref="H48:H50"/>
    <mergeCell ref="K48:L50"/>
    <mergeCell ref="H51:H53"/>
    <mergeCell ref="K51:L53"/>
    <mergeCell ref="H54:H56"/>
    <mergeCell ref="K54:L56"/>
    <mergeCell ref="H42:H44"/>
    <mergeCell ref="K42:L44"/>
    <mergeCell ref="H45:H47"/>
    <mergeCell ref="K45:L47"/>
    <mergeCell ref="K81:L83"/>
    <mergeCell ref="H66:H68"/>
    <mergeCell ref="K66:L68"/>
    <mergeCell ref="H69:H71"/>
    <mergeCell ref="K69:L71"/>
    <mergeCell ref="H72:H74"/>
    <mergeCell ref="K72:L74"/>
    <mergeCell ref="H57:H59"/>
    <mergeCell ref="K57:L59"/>
    <mergeCell ref="H60:H62"/>
    <mergeCell ref="K60:L62"/>
    <mergeCell ref="H63:H65"/>
    <mergeCell ref="K63:L65"/>
    <mergeCell ref="H122:H123"/>
    <mergeCell ref="K122:L123"/>
    <mergeCell ref="H124:H125"/>
    <mergeCell ref="K124:L125"/>
    <mergeCell ref="H112:H113"/>
    <mergeCell ref="K112:L113"/>
    <mergeCell ref="H114:H115"/>
    <mergeCell ref="K114:L115"/>
    <mergeCell ref="H116:H117"/>
    <mergeCell ref="K116:L117"/>
    <mergeCell ref="N2:R2"/>
    <mergeCell ref="Q4:R4"/>
    <mergeCell ref="Q5:R5"/>
    <mergeCell ref="N6:N8"/>
    <mergeCell ref="Q6:R8"/>
    <mergeCell ref="N9:N11"/>
    <mergeCell ref="Q9:R11"/>
    <mergeCell ref="N12:N14"/>
    <mergeCell ref="H120:H121"/>
    <mergeCell ref="K120:L121"/>
    <mergeCell ref="H106:H107"/>
    <mergeCell ref="K106:L107"/>
    <mergeCell ref="H108:H109"/>
    <mergeCell ref="K108:L109"/>
    <mergeCell ref="H110:H111"/>
    <mergeCell ref="K110:L111"/>
    <mergeCell ref="H100:H101"/>
    <mergeCell ref="K100:L101"/>
    <mergeCell ref="H102:H103"/>
    <mergeCell ref="K102:L103"/>
    <mergeCell ref="H104:H105"/>
    <mergeCell ref="K104:L105"/>
    <mergeCell ref="H93:H95"/>
    <mergeCell ref="H96:H97"/>
    <mergeCell ref="Q12:R14"/>
    <mergeCell ref="N15:N17"/>
    <mergeCell ref="Q15:R17"/>
    <mergeCell ref="N18:N20"/>
    <mergeCell ref="Q18:R20"/>
    <mergeCell ref="N21:N23"/>
    <mergeCell ref="Q21:R23"/>
    <mergeCell ref="H118:H119"/>
    <mergeCell ref="K118:L119"/>
    <mergeCell ref="K96:L97"/>
    <mergeCell ref="H98:H99"/>
    <mergeCell ref="K98:L99"/>
    <mergeCell ref="H84:H86"/>
    <mergeCell ref="K84:L86"/>
    <mergeCell ref="H90:H92"/>
    <mergeCell ref="K90:L92"/>
    <mergeCell ref="K93:L95"/>
    <mergeCell ref="H87:H89"/>
    <mergeCell ref="K87:L89"/>
    <mergeCell ref="H75:H77"/>
    <mergeCell ref="K75:L77"/>
    <mergeCell ref="H78:H80"/>
    <mergeCell ref="K78:L80"/>
    <mergeCell ref="H81:H83"/>
    <mergeCell ref="Q36:R38"/>
    <mergeCell ref="N39:N41"/>
    <mergeCell ref="Q39:R41"/>
    <mergeCell ref="N24:N26"/>
    <mergeCell ref="Q24:R26"/>
    <mergeCell ref="N27:N29"/>
    <mergeCell ref="Q27:R29"/>
    <mergeCell ref="N30:N32"/>
    <mergeCell ref="Q30:R32"/>
    <mergeCell ref="T2:X2"/>
    <mergeCell ref="W4:X4"/>
    <mergeCell ref="W5:X5"/>
    <mergeCell ref="N56:N57"/>
    <mergeCell ref="Q56:R57"/>
    <mergeCell ref="N58:N59"/>
    <mergeCell ref="Q58:R59"/>
    <mergeCell ref="N60:N61"/>
    <mergeCell ref="Q60:R61"/>
    <mergeCell ref="N50:N51"/>
    <mergeCell ref="Q50:R51"/>
    <mergeCell ref="N52:N53"/>
    <mergeCell ref="Q52:R53"/>
    <mergeCell ref="N54:N55"/>
    <mergeCell ref="Q54:R55"/>
    <mergeCell ref="N42:N44"/>
    <mergeCell ref="Q42:R44"/>
    <mergeCell ref="N45:N47"/>
    <mergeCell ref="Q45:R47"/>
    <mergeCell ref="N48:N49"/>
    <mergeCell ref="Q48:R49"/>
    <mergeCell ref="N33:N35"/>
    <mergeCell ref="Q33:R35"/>
    <mergeCell ref="N36:N38"/>
    <mergeCell ref="W39:X39"/>
    <mergeCell ref="W40:X40"/>
    <mergeCell ref="T28:T29"/>
    <mergeCell ref="W28:X29"/>
    <mergeCell ref="T30:T31"/>
    <mergeCell ref="W30:X31"/>
    <mergeCell ref="T26:T27"/>
    <mergeCell ref="W26:X27"/>
    <mergeCell ref="T16:T17"/>
    <mergeCell ref="W16:X17"/>
    <mergeCell ref="T18:T19"/>
    <mergeCell ref="W18:X19"/>
    <mergeCell ref="T6:T7"/>
    <mergeCell ref="W6:X7"/>
    <mergeCell ref="T8:T9"/>
    <mergeCell ref="W8:X9"/>
    <mergeCell ref="T10:T11"/>
    <mergeCell ref="W10:X11"/>
    <mergeCell ref="T12:T13"/>
    <mergeCell ref="W12:X13"/>
    <mergeCell ref="W38:X38"/>
    <mergeCell ref="T14:T15"/>
    <mergeCell ref="W14:X15"/>
    <mergeCell ref="T32:T33"/>
    <mergeCell ref="W32:X33"/>
    <mergeCell ref="W34:X34"/>
    <mergeCell ref="W35:X35"/>
    <mergeCell ref="W36:X36"/>
    <mergeCell ref="W37:X37"/>
    <mergeCell ref="T20:T21"/>
    <mergeCell ref="W20:X21"/>
    <mergeCell ref="T22:T23"/>
    <mergeCell ref="W22:X23"/>
    <mergeCell ref="T24:T25"/>
    <mergeCell ref="W24:X25"/>
  </mergeCells>
  <phoneticPr fontId="3" type="noConversion"/>
  <pageMargins left="0.7" right="0.7" top="0.75" bottom="0.75" header="0.3" footer="0.3"/>
  <ignoredErrors>
    <ignoredError sqref="W6 W8 W10 W12 W14 W16 W18 W20 W22 W24 W26 W28 W30 W3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Question 1</vt:lpstr>
      <vt:lpstr>AU-NON-AB</vt:lpstr>
      <vt:lpstr>AU-AB</vt:lpstr>
      <vt:lpstr>Domestic Special Visa</vt:lpstr>
      <vt:lpstr>Domestic Non citizen</vt:lpstr>
      <vt:lpstr>Outcome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2021-12-22T08:53:02Z</dcterms:created>
  <dcterms:modified xsi:type="dcterms:W3CDTF">2021-12-25T04:18:47Z</dcterms:modified>
</cp:coreProperties>
</file>